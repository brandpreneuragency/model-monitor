
<file path=[Content_Types].xml><?xml version="1.0" encoding="utf-8"?>
<Types xmlns="http://schemas.openxmlformats.org/package/2006/content-types">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spreadsheetml.table+xml" PartName="/xl/tables/table13.xml"/>
  <Override ContentType="application/vnd.openxmlformats-officedocument.spreadsheetml.table+xml" PartName="/xl/tables/table4.xml"/>
  <Override ContentType="application/vnd.openxmlformats-officedocument.spreadsheetml.table+xml" PartName="/xl/tables/table1.xml"/>
  <Override ContentType="application/vnd.openxmlformats-officedocument.spreadsheetml.table+xml" PartName="/xl/tables/table2.xml"/>
  <Override ContentType="application/vnd.openxmlformats-officedocument.spreadsheetml.table+xml" PartName="/xl/tables/table15.xml"/>
  <Override ContentType="application/vnd.openxmlformats-officedocument.spreadsheetml.table+xml" PartName="/xl/tables/table6.xml"/>
  <Override ContentType="application/vnd.openxmlformats-officedocument.spreadsheetml.table+xml" PartName="/xl/tables/table8.xml"/>
  <Override ContentType="application/vnd.openxmlformats-officedocument.spreadsheetml.table+xml" PartName="/xl/tables/table11.xml"/>
  <Override ContentType="application/vnd.openxmlformats-officedocument.spreadsheetml.table+xml" PartName="/xl/tables/table5.xml"/>
  <Override ContentType="application/vnd.openxmlformats-officedocument.spreadsheetml.table+xml" PartName="/xl/tables/table3.xml"/>
  <Override ContentType="application/vnd.openxmlformats-officedocument.spreadsheetml.table+xml" PartName="/xl/tables/table17.xml"/>
  <Override ContentType="application/vnd.openxmlformats-officedocument.spreadsheetml.table+xml" PartName="/xl/tables/table10.xml"/>
  <Override ContentType="application/vnd.openxmlformats-officedocument.spreadsheetml.table+xml" PartName="/xl/tables/table7.xml"/>
  <Override ContentType="application/vnd.openxmlformats-officedocument.spreadsheetml.table+xml" PartName="/xl/tables/table16.xml"/>
  <Override ContentType="application/vnd.openxmlformats-officedocument.spreadsheetml.table+xml" PartName="/xl/tables/table14.xml"/>
  <Override ContentType="application/vnd.openxmlformats-officedocument.spreadsheetml.table+xml" PartName="/xl/tables/table12.xml"/>
  <Override ContentType="application/vnd.openxmlformats-officedocument.spreadsheetml.table+xml" PartName="/xl/tables/table9.xml"/>
  <Override ContentType="application/vnd.openxmlformats-officedocument.spreadsheetml.worksheet+xml" PartName="/xl/worksheets/sheet4.xml"/>
  <Override ContentType="application/vnd.openxmlformats-officedocument.spreadsheetml.worksheet+xml" PartName="/xl/worksheets/sheet10.xml"/>
  <Override ContentType="application/vnd.openxmlformats-officedocument.spreadsheetml.worksheet+xml" PartName="/xl/worksheets/sheet12.xml"/>
  <Override ContentType="application/vnd.openxmlformats-officedocument.spreadsheetml.worksheet+xml" PartName="/xl/worksheets/sheet15.xml"/>
  <Override ContentType="application/vnd.openxmlformats-officedocument.spreadsheetml.worksheet+xml" PartName="/xl/worksheets/sheet2.xml"/>
  <Override ContentType="application/vnd.openxmlformats-officedocument.spreadsheetml.worksheet+xml" PartName="/xl/worksheets/sheet6.xml"/>
  <Override ContentType="application/vnd.openxmlformats-officedocument.spreadsheetml.worksheet+xml" PartName="/xl/worksheets/sheet8.xml"/>
  <Override ContentType="application/vnd.openxmlformats-officedocument.spreadsheetml.worksheet+xml" PartName="/xl/worksheets/sheet5.xml"/>
  <Override ContentType="application/vnd.openxmlformats-officedocument.spreadsheetml.worksheet+xml" PartName="/xl/worksheets/sheet11.xml"/>
  <Override ContentType="application/vnd.openxmlformats-officedocument.spreadsheetml.worksheet+xml" PartName="/xl/worksheets/sheet14.xml"/>
  <Override ContentType="application/vnd.openxmlformats-officedocument.spreadsheetml.worksheet+xml" PartName="/xl/worksheets/sheet13.xml"/>
  <Override ContentType="application/vnd.openxmlformats-officedocument.spreadsheetml.worksheet+xml" PartName="/xl/worksheets/sheet1.xml"/>
  <Override ContentType="application/vnd.openxmlformats-officedocument.spreadsheetml.worksheet+xml" PartName="/xl/worksheets/sheet3.xml"/>
  <Override ContentType="application/vnd.openxmlformats-officedocument.spreadsheetml.worksheet+xml" PartName="/xl/worksheets/sheet9.xml"/>
  <Override ContentType="application/vnd.openxmlformats-officedocument.spreadsheetml.worksheet+xml" PartName="/xl/worksheets/sheet7.xml"/>
  <Override ContentType="application/binary" PartName="/xl/metadata"/>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10.xml"/>
  <Override ContentType="application/vnd.openxmlformats-officedocument.drawing+xml" PartName="/xl/drawings/drawing9.xml"/>
  <Override ContentType="application/vnd.openxmlformats-officedocument.drawing+xml" PartName="/xl/drawings/drawing13.xml"/>
  <Override ContentType="application/vnd.openxmlformats-officedocument.drawing+xml" PartName="/xl/drawings/drawing6.xml"/>
  <Override ContentType="application/vnd.openxmlformats-officedocument.drawing+xml" PartName="/xl/drawings/drawing15.xml"/>
  <Override ContentType="application/vnd.openxmlformats-officedocument.drawing+xml" PartName="/xl/drawings/drawing1.xml"/>
  <Override ContentType="application/vnd.openxmlformats-officedocument.drawing+xml" PartName="/xl/drawings/drawing12.xml"/>
  <Override ContentType="application/vnd.openxmlformats-officedocument.drawing+xml" PartName="/xl/drawings/drawing8.xml"/>
  <Override ContentType="application/vnd.openxmlformats-officedocument.drawing+xml" PartName="/xl/drawings/drawing3.xml"/>
  <Override ContentType="application/vnd.openxmlformats-officedocument.drawing+xml" PartName="/xl/drawings/drawing14.xml"/>
  <Override ContentType="application/vnd.openxmlformats-officedocument.drawing+xml" PartName="/xl/drawings/drawing5.xml"/>
  <Override ContentType="application/vnd.openxmlformats-officedocument.drawing+xml" PartName="/xl/drawings/drawing7.xml"/>
  <Override ContentType="application/vnd.openxmlformats-officedocument.drawing+xml" PartName="/xl/drawings/drawing2.xml"/>
  <Override ContentType="application/vnd.openxmlformats-officedocument.drawing+xml" PartName="/xl/drawings/drawing11.xml"/>
  <Override ContentType="application/vnd.ms-excel.sheet.macroEnabled.main+xml" PartName="/xl/workbook.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Master Models" sheetId="1" r:id="rId4"/>
    <sheet state="visible" name="Google Model Data" sheetId="2" r:id="rId5"/>
    <sheet state="visible" name="Benchmarks" sheetId="3" r:id="rId6"/>
    <sheet state="visible" name="Provider Limits" sheetId="4" r:id="rId7"/>
    <sheet state="visible" name="Methodology &amp; Sources" sheetId="5" r:id="rId8"/>
    <sheet state="visible" name="Model Router" sheetId="6" r:id="rId9"/>
    <sheet state="visible" name="Expansion Scope" sheetId="7" r:id="rId10"/>
    <sheet state="visible" name="Baseline Reference" sheetId="8" r:id="rId11"/>
    <sheet state="visible" name="Session 3 Handoff" sheetId="9" r:id="rId12"/>
    <sheet state="visible" name="Mistral &amp; Nemotron Data" sheetId="10" r:id="rId13"/>
    <sheet state="visible" name="Session 4 Handoff" sheetId="11" r:id="rId14"/>
    <sheet state="visible" name="Session 5 Model Data" sheetId="12" r:id="rId15"/>
    <sheet state="visible" name="Session 5 Handoff" sheetId="13" r:id="rId16"/>
    <sheet state="visible" name="Session 6 Normalization" sheetId="14" r:id="rId17"/>
    <sheet state="visible" name="Session 6 Handoff" sheetId="15" r:id="rId18"/>
  </sheets>
  <definedNames/>
  <calcPr/>
  <extLst>
    <ext uri="GoogleSheetsCustomDataVersion2">
      <go:sheetsCustomData xmlns:go="http://customooxmlschemas.google.com/" r:id="rId19" roundtripDataChecksum="LLsR+kF37xz0QxdbMyEW39fI1XLXhtDWXy1IhuOHVkU="/>
    </ext>
  </extLst>
</workbook>
</file>

<file path=xl/sharedStrings.xml><?xml version="1.0" encoding="utf-8"?>
<sst xmlns="http://schemas.openxmlformats.org/spreadsheetml/2006/main" count="8805" uniqueCount="1699">
  <si>
    <t>AI Coding Model Master — Session 6 Final Global Ranking</t>
  </si>
  <si>
    <t>All 51 models are consolidated. Composite scores use the locked factor weights; global ranks exclude insufficient-evidence rows, and Balanced/Value also require a comparable documented cost basis. Specialist ranks use transparent task-specific factor formulas.</t>
  </si>
  <si>
    <t>Provider</t>
  </si>
  <si>
    <t>Package</t>
  </si>
  <si>
    <t>Model</t>
  </si>
  <si>
    <t>Model ID</t>
  </si>
  <si>
    <t>Family</t>
  </si>
  <si>
    <t>Generation</t>
  </si>
  <si>
    <t>Status</t>
  </si>
  <si>
    <t>Release Date</t>
  </si>
  <si>
    <t>Model Type</t>
  </si>
  <si>
    <t>Coding Specialization</t>
  </si>
  <si>
    <t>Vision Support</t>
  </si>
  <si>
    <t>Reasoning Support</t>
  </si>
  <si>
    <t>Parallel-Agent Support</t>
  </si>
  <si>
    <t>Knowledge Cutoff</t>
  </si>
  <si>
    <t>Context Tokens</t>
  </si>
  <si>
    <t>Max Output Tokens</t>
  </si>
  <si>
    <t>Speed Rating</t>
  </si>
  <si>
    <t>Verified TPS</t>
  </si>
  <si>
    <t>Subscription USD/mo</t>
  </si>
  <si>
    <t>Intro Price USD</t>
  </si>
  <si>
    <t>Usage Window Hours</t>
  </si>
  <si>
    <t>5h Min Requests</t>
  </si>
  <si>
    <t>5h Max Requests</t>
  </si>
  <si>
    <t>Weekly Requests</t>
  </si>
  <si>
    <t>Monthly Requests</t>
  </si>
  <si>
    <t>Input $/M</t>
  </si>
  <si>
    <t>Cached Read $/M</t>
  </si>
  <si>
    <t>Cache Write $/M</t>
  </si>
  <si>
    <t>Output $/M</t>
  </si>
  <si>
    <t>Long Context Input $/M</t>
  </si>
  <si>
    <t>Long Context Cached $/M</t>
  </si>
  <si>
    <t>Long Context Cache Write $/M</t>
  </si>
  <si>
    <t>Long Context Output $/M</t>
  </si>
  <si>
    <t>Avg Request Cost $</t>
  </si>
  <si>
    <t>Provider Relative Usage Cost</t>
  </si>
  <si>
    <t>SWE-Bench Pro</t>
  </si>
  <si>
    <t>Terminal-Bench 2.1</t>
  </si>
  <si>
    <t>Terminal-Bench 2.0</t>
  </si>
  <si>
    <t>Coding Agent Index</t>
  </si>
  <si>
    <t>SWE-Bench Verified</t>
  </si>
  <si>
    <t>Toolathlon</t>
  </si>
  <si>
    <t>MCP Atlas</t>
  </si>
  <si>
    <t>OSWorld</t>
  </si>
  <si>
    <t>GPQA Diamond</t>
  </si>
  <si>
    <t>Headline Long-Context %</t>
  </si>
  <si>
    <t>Benchmark Confidence</t>
  </si>
  <si>
    <t>Coding Benchmark Score</t>
  </si>
  <si>
    <t>Agent/Tool Score</t>
  </si>
  <si>
    <t>Repository Repair Score</t>
  </si>
  <si>
    <t>Long Context Score</t>
  </si>
  <si>
    <t>Speed Score</t>
  </si>
  <si>
    <t>Usage Efficiency Score</t>
  </si>
  <si>
    <t>Multimodality Score</t>
  </si>
  <si>
    <t>Provider Reliability Score</t>
  </si>
  <si>
    <t>Capability Score</t>
  </si>
  <si>
    <t>Capability Rank</t>
  </si>
  <si>
    <t>Balanced Score</t>
  </si>
  <si>
    <t>Balanced Rank</t>
  </si>
  <si>
    <t>Value Score</t>
  </si>
  <si>
    <t>Value Rank</t>
  </si>
  <si>
    <t>Long Context Rank</t>
  </si>
  <si>
    <t>Terminal/DevOps Rank</t>
  </si>
  <si>
    <t>UI/Frontend Rank</t>
  </si>
  <si>
    <t>Architecture Rank</t>
  </si>
  <si>
    <t>Review/Debug Rank</t>
  </si>
  <si>
    <t>Bulk Worker Rank</t>
  </si>
  <si>
    <t>Best Use</t>
  </si>
  <si>
    <t>Avoid For</t>
  </si>
  <si>
    <t>Roster Source</t>
  </si>
  <si>
    <t>Pricing Source</t>
  </si>
  <si>
    <t>Benchmark Source</t>
  </si>
  <si>
    <t>Verified On</t>
  </si>
  <si>
    <t>Needs Recheck</t>
  </si>
  <si>
    <t>Global Capability Eligible</t>
  </si>
  <si>
    <t>Balanced / Value Eligible</t>
  </si>
  <si>
    <t>Rank / QC Note</t>
  </si>
  <si>
    <t>OpenAI</t>
  </si>
  <si>
    <t>ChatGPT Plus / Codex</t>
  </si>
  <si>
    <t>GPT-5.6 Sol</t>
  </si>
  <si>
    <t>gpt-5.6-sol</t>
  </si>
  <si>
    <t>GPT-5.6</t>
  </si>
  <si>
    <t>Current flagship</t>
  </si>
  <si>
    <t>Proprietary frontier</t>
  </si>
  <si>
    <t>Complex coding, computer use, research, cybersecurity</t>
  </si>
  <si>
    <t>Yes</t>
  </si>
  <si>
    <t>Yes: low–ultra</t>
  </si>
  <si>
    <t>Yes: Codex Ultra</t>
  </si>
  <si>
    <t>2026-02-16</t>
  </si>
  <si>
    <t>Medium</t>
  </si>
  <si>
    <t>Architecture, hardest debugging, major refactors, high-value autonomous work</t>
  </si>
  <si>
    <t>Routine edits when quota efficiency matters</t>
  </si>
  <si>
    <t>https://learn.chatgpt.com/docs/models</t>
  </si>
  <si>
    <t>https://learn.chatgpt.com/docs/pricing</t>
  </si>
  <si>
    <t>https://openai.com/index/gpt-5-6/</t>
  </si>
  <si>
    <t>No</t>
  </si>
  <si>
    <t>Eligible; authoritative Session 2 specifications, evidence factors, and pricing basis restored.</t>
  </si>
  <si>
    <t>GPT-5.6 Terra</t>
  </si>
  <si>
    <t>gpt-5.6-terra</t>
  </si>
  <si>
    <t>Current balanced</t>
  </si>
  <si>
    <t>Everyday coding, tools, balanced intelligence and cost</t>
  </si>
  <si>
    <t>Fast</t>
  </si>
  <si>
    <t>Default feature work, review, debugging, medium refactors</t>
  </si>
  <si>
    <t>Only the most ambiguous frontier tasks</t>
  </si>
  <si>
    <t>GPT-5.6 Luna</t>
  </si>
  <si>
    <t>gpt-5.6-luna</t>
  </si>
  <si>
    <t>Current efficient</t>
  </si>
  <si>
    <t>Proprietary efficient</t>
  </si>
  <si>
    <t>Fast, high-volume, well-scoped coding and transformations</t>
  </si>
  <si>
    <t>Very fast</t>
  </si>
  <si>
    <t>Focused edits, code search, repetitive implementation, high-volume subagents</t>
  </si>
  <si>
    <t>Very large repositories requiring reliable deep-context retrieval</t>
  </si>
  <si>
    <t>OpenCode</t>
  </si>
  <si>
    <t>OpenCode Go</t>
  </si>
  <si>
    <t>GLM-5.2</t>
  </si>
  <si>
    <t>opencode-go/glm-5.2</t>
  </si>
  <si>
    <t>GLM</t>
  </si>
  <si>
    <t>Current</t>
  </si>
  <si>
    <t>Open-weight frontier</t>
  </si>
  <si>
    <t>Long-horizon coding, terminal work, large repositories</t>
  </si>
  <si>
    <t>Not confirmed in Go docs</t>
  </si>
  <si>
    <t>Agent orchestration capable</t>
  </si>
  <si>
    <t>Not published</t>
  </si>
  <si>
    <t>Medium-slow</t>
  </si>
  <si>
    <t>Open-model architecture, difficult terminal work, million-token repositories</t>
  </si>
  <si>
    <t>High-volume routine edits where cheaper Go models dominate</t>
  </si>
  <si>
    <t>https://opencode.ai/docs/go/</t>
  </si>
  <si>
    <t>https://z.ai/blog/glm-5.2</t>
  </si>
  <si>
    <t>GLM-5.1</t>
  </si>
  <si>
    <t>opencode-go/glm-5.1</t>
  </si>
  <si>
    <t>Legacy selectable</t>
  </si>
  <si>
    <t>Previous-generation agentic coding</t>
  </si>
  <si>
    <t>Compatibility with GLM-5.1-tuned prompts</t>
  </si>
  <si>
    <t>New work: GLM-5.2 has same Go pricing and much higher capability</t>
  </si>
  <si>
    <t>Kimi K2.7 Code</t>
  </si>
  <si>
    <t>opencode-go/kimi-k2.7-code</t>
  </si>
  <si>
    <t>Kimi K2</t>
  </si>
  <si>
    <t>2.7 Code</t>
  </si>
  <si>
    <t>Current coding specialist</t>
  </si>
  <si>
    <t>Open-weight coding specialist</t>
  </si>
  <si>
    <t>Long-horizon coding and instruction-following</t>
  </si>
  <si>
    <t>Always-on thinking</t>
  </si>
  <si>
    <t>Strong orchestration; no Go-native swarm claim</t>
  </si>
  <si>
    <t>Long difficult implementations, multi-step coding, frontend and performance work</t>
  </si>
  <si>
    <t>Non-thinking or ultra-low-latency tasks</t>
  </si>
  <si>
    <t>https://platform.kimi.ai/docs/guide/kimi-k2-7-code-quickstart</t>
  </si>
  <si>
    <t>Kimi K2.6</t>
  </si>
  <si>
    <t>opencode-go/kimi-k2.6</t>
  </si>
  <si>
    <t>Open-weight multimodal</t>
  </si>
  <si>
    <t>Coding, frontend, agent swarm and long-running execution</t>
  </si>
  <si>
    <t>Native Agent Swarm up to 300 subagents</t>
  </si>
  <si>
    <t>Medium-fast</t>
  </si>
  <si>
    <t>Agent orchestration, UI work, long-running full-stack execution</t>
  </si>
  <si>
    <t>Maximum value when K2.7 Code is available for pure coding</t>
  </si>
  <si>
    <t>https://www.kimi.com/blog/kimi-k2-6</t>
  </si>
  <si>
    <t>MiMo-V2.5</t>
  </si>
  <si>
    <t>opencode-go/mimo-v2.5</t>
  </si>
  <si>
    <t>MiMo</t>
  </si>
  <si>
    <t>V2.5</t>
  </si>
  <si>
    <t>Open-weight omnimodal</t>
  </si>
  <si>
    <t>Low-cost agent work, exploration and everyday coding</t>
  </si>
  <si>
    <t>Yes / omnimodal</t>
  </si>
  <si>
    <t>Agent-capable</t>
  </si>
  <si>
    <t>Repository exploration, small edits, bulk execution, multimodal tasks</t>
  </si>
  <si>
    <t>Hardest architecture and long autonomous debugging</t>
  </si>
  <si>
    <t>https://mimo.xiaomi.com/mimo-v2-5-pro/</t>
  </si>
  <si>
    <t>MiMo-V2.5-Pro</t>
  </si>
  <si>
    <t>opencode-go/mimo-v2.5-pro</t>
  </si>
  <si>
    <t>V2.5 Pro</t>
  </si>
  <si>
    <t>Open-weight omnimodal frontier</t>
  </si>
  <si>
    <t>Higher-reliability coding and agent workflows</t>
  </si>
  <si>
    <t>Cost-conscious complex coding, review, multimodal agent workflows</t>
  </si>
  <si>
    <t>Bulk work where standard MiMo gives roughly nine times more requests</t>
  </si>
  <si>
    <t>MiniMax M3</t>
  </si>
  <si>
    <t>opencode-go/minimax-m3</t>
  </si>
  <si>
    <t>MiniMax</t>
  </si>
  <si>
    <t>M3</t>
  </si>
  <si>
    <t>Open-weight multimodal frontier</t>
  </si>
  <si>
    <t>Application construction, long autonomous implementation</t>
  </si>
  <si>
    <t>Yes / native multimodal</t>
  </si>
  <si>
    <t>Complete app builds, frontend from media, long autonomous implementation</t>
  </si>
  <si>
    <t>Terminal-heavy tasks where Qwen Plus or GLM is stronger</t>
  </si>
  <si>
    <t>https://www.minimax.io/blog/minimax-m3</t>
  </si>
  <si>
    <t>MiniMax M2.7</t>
  </si>
  <si>
    <t>opencode-go/minimax-m2.7</t>
  </si>
  <si>
    <t>M2.7</t>
  </si>
  <si>
    <t>Open-weight agent model</t>
  </si>
  <si>
    <t>Cost-effective project construction and autonomous work</t>
  </si>
  <si>
    <t>Not confirmed</t>
  </si>
  <si>
    <t>Economical project construction and autonomous iteration</t>
  </si>
  <si>
    <t>Terminal reliability and multimodal work; M3 supersedes it</t>
  </si>
  <si>
    <t>https://arxiv.org/html/2605.26494v1</t>
  </si>
  <si>
    <t>Qwen3.7 Max</t>
  </si>
  <si>
    <t>opencode-go/qwen3.7-max</t>
  </si>
  <si>
    <t>Qwen</t>
  </si>
  <si>
    <t>3.7 Max</t>
  </si>
  <si>
    <t>Proprietary/open-serving frontier</t>
  </si>
  <si>
    <t>Architecture, reasoning, coding and long-horizon tools</t>
  </si>
  <si>
    <t>Architecture, difficult algorithms, long-context tool use and review</t>
  </si>
  <si>
    <t>Routine development because Qwen3.7 Plus offers far higher usage</t>
  </si>
  <si>
    <t>https://qwen.ai/blog?id=qwen3.7</t>
  </si>
  <si>
    <t>Qwen3.7 Plus</t>
  </si>
  <si>
    <t>opencode-go/qwen3.7-plus</t>
  </si>
  <si>
    <t>3.7 Plus</t>
  </si>
  <si>
    <t>Proprietary/open-serving balanced</t>
  </si>
  <si>
    <t>Terminal-heavy development, review and everyday coding</t>
  </si>
  <si>
    <t>Best Go default: debugging, terminal work, review and general development</t>
  </si>
  <si>
    <t>Only the hardest architecture where Max or GLM-5.2 is justified</t>
  </si>
  <si>
    <t>Qwen3.6 Plus</t>
  </si>
  <si>
    <t>opencode-go/qwen3.6-plus</t>
  </si>
  <si>
    <t>3.6 Plus</t>
  </si>
  <si>
    <t>Older multimodal coding and agent workflows</t>
  </si>
  <si>
    <t>Legacy multimodal and long-context workflows</t>
  </si>
  <si>
    <t>New workflows: Qwen3.7 Plus is stronger and cheaper</t>
  </si>
  <si>
    <t>https://qwen.ai/blog?id=qwen3.6</t>
  </si>
  <si>
    <t>DeepSeek V4 Pro</t>
  </si>
  <si>
    <t>opencode-go/deepseek-v4-pro</t>
  </si>
  <si>
    <t>DeepSeek V4</t>
  </si>
  <si>
    <t>V4 Pro</t>
  </si>
  <si>
    <t>Algorithms, difficult logical bugs and terminal reasoning</t>
  </si>
  <si>
    <t>Yes / multiple effort modes</t>
  </si>
  <si>
    <t>Algorithms, system debugging, backend logic and terminal tasks</t>
  </si>
  <si>
    <t>Visual UI implementation and tasks requiring confirmed multimodal support</t>
  </si>
  <si>
    <t>https://arxiv.org/html/2606.19348v1</t>
  </si>
  <si>
    <t>DeepSeek V4 Flash</t>
  </si>
  <si>
    <t>opencode-go/deepseek-v4-flash</t>
  </si>
  <si>
    <t>V4 Flash</t>
  </si>
  <si>
    <t>Open-weight efficient</t>
  </si>
  <si>
    <t>Ultra-low-cost code generation, exploration and bulk work</t>
  </si>
  <si>
    <t>Search, boilerplate, tests, documentation and precisely scoped bulk edits</t>
  </si>
  <si>
    <t>High-stakes refactors and long ambiguous debugging</t>
  </si>
  <si>
    <t>xAI</t>
  </si>
  <si>
    <t>xAI API</t>
  </si>
  <si>
    <t>Grok 4.5</t>
  </si>
  <si>
    <t>grok-4.5</t>
  </si>
  <si>
    <t>Grok</t>
  </si>
  <si>
    <t>Flagship coding, terminal work, agentic tools, frontend and general engineering</t>
  </si>
  <si>
    <t>Configurable: low–high</t>
  </si>
  <si>
    <t>Agent-capable; parallel tool calls</t>
  </si>
  <si>
    <t>2024-11</t>
  </si>
  <si>
    <t>Fast frontier coding, Terminal-Bench-style work, tools, debugging and multimodal implementation</t>
  </si>
  <si>
    <t>Work requiring a one-million-token context window or the most mature enterprise controls</t>
  </si>
  <si>
    <t>https://docs.x.ai/developers/models/grok-4.5</t>
  </si>
  <si>
    <t>https://docs.x.ai/developers/pricing</t>
  </si>
  <si>
    <t>https://x.ai/news/grok-4-5</t>
  </si>
  <si>
    <t>Google</t>
  </si>
  <si>
    <t>Gemini API</t>
  </si>
  <si>
    <t>Gemini 3.1 Flash-Lite</t>
  </si>
  <si>
    <t>gemini-3.1-flash-lite</t>
  </si>
  <si>
    <t>Gemini</t>
  </si>
  <si>
    <t>3.1 Flash-Lite</t>
  </si>
  <si>
    <t>Stable / GA</t>
  </si>
  <si>
    <t>High-volume simple coding, extraction, classification, translation, and lightweight agentic workflows</t>
  </si>
  <si>
    <t>Yes: image, video, PDF</t>
  </si>
  <si>
    <t>Yes: thinking</t>
  </si>
  <si>
    <t>Agent/tool capable; suited to high-volume substeps</t>
  </si>
  <si>
    <t>2025-01</t>
  </si>
  <si>
    <t>Ultra-fast</t>
  </si>
  <si>
    <t>Bulk agent substeps, search, extraction, tests, documentation, transformations, and latency-sensitive coding</t>
  </si>
  <si>
    <t>Deep architecture, ambiguous debugging, and high-stakes repository migrations</t>
  </si>
  <si>
    <t>https://ai.google.dev/gemini-api/docs/models/gemini-3.1-flash-lite</t>
  </si>
  <si>
    <t>https://ai.google.dev/gemini-api/docs/pricing</t>
  </si>
  <si>
    <t>https://deepmind.google/models/gemini/</t>
  </si>
  <si>
    <t>API docs label stable; some model landing content may retain preview-era wording.</t>
  </si>
  <si>
    <t>Insufficient global evidence: coding benchmark exists, but no agent/tool/repository/terminal benchmark.</t>
  </si>
  <si>
    <t>Gemma 4 31B</t>
  </si>
  <si>
    <t>gemma-4-31b-it</t>
  </si>
  <si>
    <t>Gemma 4</t>
  </si>
  <si>
    <t>31B Dense</t>
  </si>
  <si>
    <t>Current / open weights + API</t>
  </si>
  <si>
    <t>Open-weight dense multimodal</t>
  </si>
  <si>
    <t>Open-weight reasoning, coding, native function calling, and local or hosted deployment</t>
  </si>
  <si>
    <t>Yes: image; video through frame sampling; no audio</t>
  </si>
  <si>
    <t>Yes: thinking-token control</t>
  </si>
  <si>
    <t>Agent-capable; native function calling</t>
  </si>
  <si>
    <t>Medium / deployment-dependent</t>
  </si>
  <si>
    <t>Open-weight coding and reasoning, private deployment, experimentation, function calling, and free hosted prototypes</t>
  </si>
  <si>
    <t>Paid-API value comparisons without a comparable hosted price or deployments requiring native audio input</t>
  </si>
  <si>
    <t>https://ai.google.dev/gemma/docs/core/gemma_on_gemini_api</t>
  </si>
  <si>
    <t>https://ai.google.dev/gemma/docs/core/model_card_4</t>
  </si>
  <si>
    <t>Gemini API exposes a free tier only; paid tier unavailable. Self-hosting cost is intentionally not mixed with token pricing.</t>
  </si>
  <si>
    <t>Eligible under the locked coding + secondary engineering evidence rule; comparable access-cost basis documented.</t>
  </si>
  <si>
    <t>NVIDIA</t>
  </si>
  <si>
    <t>NVIDIA-hosted trial / NIM / open weights</t>
  </si>
  <si>
    <t>Nemotron 3 Ultra 550B A55B</t>
  </si>
  <si>
    <t>nvidia/nemotron-3-ultra-550b-a55b</t>
  </si>
  <si>
    <t>Nemotron 3</t>
  </si>
  <si>
    <t>Ultra</t>
  </si>
  <si>
    <t>Current / open weights + NVIDIA-hosted trial</t>
  </si>
  <si>
    <t>Hybrid Mamba-2/Transformer LatentMoE; 550B total / 55B active</t>
  </si>
  <si>
    <t>Frontier open-weight coding, terminal operation, software repair, deep reasoning, and million-token agents</t>
  </si>
  <si>
    <t>No: text/code</t>
  </si>
  <si>
    <t>Yes: reasoning on/off</t>
  </si>
  <si>
    <t>Yes: tool-using and long-horizon agent workflows</t>
  </si>
  <si>
    <t>Pretrain 2025-09; post-train 2026-05</t>
  </si>
  <si>
    <t>Deployment-dependent / heavy</t>
  </si>
  <si>
    <t>Self-hosted frontier engineering, million-token repository analysis, terminal agents, difficult repair, and private deployments</t>
  </si>
  <si>
    <t>Small teams without multi-GPU infrastructure and low-latency interactive coding</t>
  </si>
  <si>
    <t>https://build.nvidia.com/nvidia/nemotron-3-ultra-550b-a55b/modelcard</t>
  </si>
  <si>
    <t>No comparable public production token price. BF16 is the canonical benchmark row; NVFP4 evidence is stored separately. Factor scores are provisional.</t>
  </si>
  <si>
    <t>Capability eligible; Balanced/Value excluded because no comparable public production token tariff was documented.</t>
  </si>
  <si>
    <t>Nemotron 3 Super 120B A12B</t>
  </si>
  <si>
    <t>nvidia/nemotron-3-super-120b-a12b</t>
  </si>
  <si>
    <t>Super</t>
  </si>
  <si>
    <t>Hybrid Mamba-2/Transformer LatentMoE; 120B total / 12B active</t>
  </si>
  <si>
    <t>Efficient enterprise agents, code generation, software repair, tools, and million-token workloads</t>
  </si>
  <si>
    <t>Yes: reasoning modes</t>
  </si>
  <si>
    <t>Yes: enterprise agent and tool workflows</t>
  </si>
  <si>
    <t>Fast for capability class</t>
  </si>
  <si>
    <t>Balanced self-hosted coding agents, tool use, repository repair, enterprise automation, and long-context execution</t>
  </si>
  <si>
    <t>Vision/audio workflows and deployments constrained to a single modest GPU</t>
  </si>
  <si>
    <t>https://build.nvidia.com/nvidia/nemotron-3-super-120b-a12b/modelcard</t>
  </si>
  <si>
    <t>SWE-Bench headline uses OpenHands scaffold; OpenCode and Codex scaffold results are stored separately. No comparable token price.</t>
  </si>
  <si>
    <t>Nemotron 3 Nano 30B A3B</t>
  </si>
  <si>
    <t>nvidia/nemotron-3-nano-30b-a3b</t>
  </si>
  <si>
    <t>Nano</t>
  </si>
  <si>
    <t>Hybrid Mamba-2/Transformer MoE; 30B total / 3B active</t>
  </si>
  <si>
    <t>Efficient local code, math, science, tool calling, and long-context agent substeps</t>
  </si>
  <si>
    <t>Yes: function/tool calling and economical subagents</t>
  </si>
  <si>
    <t>Very fast for capability class</t>
  </si>
  <si>
    <t>Efficient local coding, bulk subagents, tool calling, long-context processing, and private economical deployment</t>
  </si>
  <si>
    <t>Frontier repository repair and multimodal tasks</t>
  </si>
  <si>
    <t>https://build.nvidia.com/nvidia/nemotron-3-nano-30b-a3b/modelcard</t>
  </si>
  <si>
    <t>Model card default configuration may be 256K although the architecture supports up to 1M. No comparable token price.</t>
  </si>
  <si>
    <t>Nemotron 3 Nano Omni 30B A3B Reasoning</t>
  </si>
  <si>
    <t>nvidia/nemotron-3-nano-omni-30b-a3b-reasoning</t>
  </si>
  <si>
    <t>Nemotron 3 Nano Omni</t>
  </si>
  <si>
    <t>Omni</t>
  </si>
  <si>
    <t>Multimodal hybrid Mamba-2/Transformer MoE; 31B total / 3B active</t>
  </si>
  <si>
    <t>Multimodal agents combining image, video, audio, text, JSON, tool calls, and lightweight reasoning</t>
  </si>
  <si>
    <t>Yes: image and video; also audio</t>
  </si>
  <si>
    <t>Yes: reasoning model</t>
  </si>
  <si>
    <t>Yes: tool calling and structured JSON workflows</t>
  </si>
  <si>
    <t>Deployment-dependent / efficient</t>
  </si>
  <si>
    <t>Multimodal desktop/robotics agents, document and video reasoning, voice interaction, and tool-rich perception workflows</t>
  </si>
  <si>
    <t>Pure coding leaderboards and repository repair where direct coding evidence is absent</t>
  </si>
  <si>
    <t>https://build.nvidia.com/nvidia/nemotron-3-nano-omni-30b-a3b-reasoning/modelcard</t>
  </si>
  <si>
    <t>Coding factor is estimated from the Nano backbone and agent capabilities because no direct coding benchmark is published. No comparable token price.</t>
  </si>
  <si>
    <t>Insufficient global evidence: no direct coding benchmark.</t>
  </si>
  <si>
    <t>Opencode Zen</t>
  </si>
  <si>
    <t>Hy3</t>
  </si>
  <si>
    <t>opencode-go/Hy3</t>
  </si>
  <si>
    <t>Full release</t>
  </si>
  <si>
    <t>Current / open weights + public API</t>
  </si>
  <si>
    <t>Open-weight MoE; 295B total / 21B active + 3.8B MTP layer</t>
  </si>
  <si>
    <t>Frontier open-weight coding, terminal work, backend engineering, repository tasks, search agents, tool use, and STEM reasoning</t>
  </si>
  <si>
    <t>Yes: hybrid fast/slow thinking with no_think, low, and high modes</t>
  </si>
  <si>
    <t>Yes: tool calling and coding/product agent workflows</t>
  </si>
  <si>
    <t>Medium-fast / deployment-dependent</t>
  </si>
  <si>
    <t>Open-weight coding agents, backend and CI/CD work, terminal tasks, repository repair, search/tool agents, and private high-capability deployment</t>
  </si>
  <si>
    <t>Vision workflows and teams without multi-GPU infrastructure or a priced hosted endpoint</t>
  </si>
  <si>
    <t>https://www.tencent.com/en-us/articles/2202386.html</t>
  </si>
  <si>
    <t>https://huggingface.co/tencent/Hy3</t>
  </si>
  <si>
    <t>Full release is new. No comparable public TokenHub tariff was captured; self-hosting cost is not entered as token pricing. Full Hy3 supersedes Hy3-preview.</t>
  </si>
  <si>
    <t>Nous Research</t>
  </si>
  <si>
    <t>Hermes Free Plan</t>
  </si>
  <si>
    <t>Step 3.7 Flash</t>
  </si>
  <si>
    <t>step-3.7-flash</t>
  </si>
  <si>
    <t>Step</t>
  </si>
  <si>
    <t>3.7 Flash</t>
  </si>
  <si>
    <t>Current / API + open weights</t>
  </si>
  <si>
    <t>Multimodal sparse MoE; 198B total / 11B active in API docs</t>
  </si>
  <si>
    <t>Fast multimodal coding agents, repository work, tool execution, multi-step planning, search, and computer-use-oriented workflows</t>
  </si>
  <si>
    <t>Yes: native image and video understanding</t>
  </si>
  <si>
    <t>Yes: selectable low, medium, and high reasoning levels</t>
  </si>
  <si>
    <t>Yes: reliable tool calls, task decomposition, planning, and multi-harness agent use</t>
  </si>
  <si>
    <t>Fast multimodal coding agents, UI and application implementation, tool-rich workflows, research/search, and cost-sensitive autonomous work</t>
  </si>
  <si>
    <t>USD value comparisons until CNY pricing is normalized and tasks requiring a published maximum-output limit</t>
  </si>
  <si>
    <t>https://platform.stepfun.com/docs/zh/guides/models/step-3.7-flash</t>
  </si>
  <si>
    <t>https://static.stepfun.com/blog/step-3.7-flash/</t>
  </si>
  <si>
    <t>Eligible; CNY tariff converted at latest business-day CFETS USD/CNY 6.7989 (2026-07-10).</t>
  </si>
  <si>
    <t>Opencode</t>
  </si>
  <si>
    <t>CommandCode</t>
  </si>
  <si>
    <t>CommandCode CLI</t>
  </si>
  <si>
    <t>Google Model Data — Session 3</t>
  </si>
  <si>
    <t>Focused specifications and lifecycle view. Standard paid-tier prices are used; free-tier availability is noted separately.</t>
  </si>
  <si>
    <t>Lifecycle</t>
  </si>
  <si>
    <t>Architecture / Class</t>
  </si>
  <si>
    <t>Parameters</t>
  </si>
  <si>
    <t>Context</t>
  </si>
  <si>
    <t>Max Output</t>
  </si>
  <si>
    <t>Inputs</t>
  </si>
  <si>
    <t>Reasoning</t>
  </si>
  <si>
    <t>Tool / Agent Support</t>
  </si>
  <si>
    <t>Cache $/M</t>
  </si>
  <si>
    <t>Long Input $/M</t>
  </si>
  <si>
    <t>Long Output $/M</t>
  </si>
  <si>
    <t>Free Tier</t>
  </si>
  <si>
    <t>Primary Coding Evidence</t>
  </si>
  <si>
    <t>Official Model Source</t>
  </si>
  <si>
    <t>Notes</t>
  </si>
  <si>
    <t>Gemini 3.1 Pro Preview</t>
  </si>
  <si>
    <t>gemini-3.1-pro-preview</t>
  </si>
  <si>
    <t>Preview</t>
  </si>
  <si>
    <t>Pro frontier preview</t>
  </si>
  <si>
    <t>Undisclosed</t>
  </si>
  <si>
    <t>Text, image, video, audio, PDF</t>
  </si>
  <si>
    <t>Thinking levels</t>
  </si>
  <si>
    <t>Code execution, function calling, search/maps grounding, structured outputs</t>
  </si>
  <si>
    <t>SWE-Bench Pro 54.2; Terminal-Bench 2.1 70.3; MCP Atlas 78.2</t>
  </si>
  <si>
    <t>https://ai.google.dev/gemini-api/docs/models/gemini-3.1-pro-preview</t>
  </si>
  <si>
    <t>Custom-tools is a variant, not a distinct model row.</t>
  </si>
  <si>
    <t>Gemini 3.5 Flash</t>
  </si>
  <si>
    <t>gemini-3.5-flash</t>
  </si>
  <si>
    <t>Frontier-efficient</t>
  </si>
  <si>
    <t>Code execution, function calling, grounding, computer-use preview</t>
  </si>
  <si>
    <t>SWE-Bench Pro 55.1; Terminal-Bench 2.1 76.2; MCP Atlas 83.6</t>
  </si>
  <si>
    <t>https://ai.google.dev/gemini-api/docs/models/gemini-3.5-flash</t>
  </si>
  <si>
    <t>Current stable Flash-class coding default.</t>
  </si>
  <si>
    <t>Gemini 3 Flash Preview</t>
  </si>
  <si>
    <t>gemini-3-flash-preview</t>
  </si>
  <si>
    <t>Preview predecessor</t>
  </si>
  <si>
    <t>Fast preview</t>
  </si>
  <si>
    <t>Thinking</t>
  </si>
  <si>
    <t>Code execution, function calling, grounding, structured outputs</t>
  </si>
  <si>
    <t>SWE-Bench Pro 49.6; Terminal-Bench 2.1 58.0; SWE-Bench Verified 78.0</t>
  </si>
  <si>
    <t>https://ai.google.dev/gemini-api/docs/models/gemini-3-flash-preview</t>
  </si>
  <si>
    <t>Retained as a distinct preview endpoint; do not merge with Gemini 3.5 Flash.</t>
  </si>
  <si>
    <t>Efficient / low latency</t>
  </si>
  <si>
    <t>Code execution, function calling, file search, grounding</t>
  </si>
  <si>
    <t>LiveCodeBench 72.0; 363 output tok/s; GPQA Diamond 86.9</t>
  </si>
  <si>
    <t>Preview endpoint shut down May 25, 2026; stable endpoint retained.</t>
  </si>
  <si>
    <t>Gemini 2.5 Pro</t>
  </si>
  <si>
    <t>gemini-2.5-pro</t>
  </si>
  <si>
    <t>Stable / previous generation</t>
  </si>
  <si>
    <t>Previous-gen frontier</t>
  </si>
  <si>
    <t>Adaptive thinking</t>
  </si>
  <si>
    <t>Code execution, function calling, search/maps grounding</t>
  </si>
  <si>
    <t>SWE-Bench Verified 63.8 with Google custom agent</t>
  </si>
  <si>
    <t>https://ai.google.dev/gemini-api/docs/models/gemini-2.5-pro</t>
  </si>
  <si>
    <t>Harness must remain attached to score.</t>
  </si>
  <si>
    <t>Gemini 2.5 Flash</t>
  </si>
  <si>
    <t>gemini-2.5-flash</t>
  </si>
  <si>
    <t>Previous-gen balanced</t>
  </si>
  <si>
    <t>Thinking budgets</t>
  </si>
  <si>
    <t>Code execution, function calling, grounding</t>
  </si>
  <si>
    <t>SWE-Bench Verified stable baseline 48.9 from official preview comparison</t>
  </si>
  <si>
    <t>https://ai.google.dev/gemini-api/docs/models/gemini-2.5-flash</t>
  </si>
  <si>
    <t>Benchmark is indirect and flagged for final reconciliation.</t>
  </si>
  <si>
    <t>Gemini 2.5 Flash-Lite</t>
  </si>
  <si>
    <t>gemini-2.5-flash-lite</t>
  </si>
  <si>
    <t>Previous-gen efficient</t>
  </si>
  <si>
    <t>Dynamic thinking</t>
  </si>
  <si>
    <t>LiveCodeBench 34.3; 366 output tok/s; GPQA Diamond 66.7</t>
  </si>
  <si>
    <t>https://ai.google.dev/gemini-api/docs/models/gemini-2.5-flash-lite</t>
  </si>
  <si>
    <t>Benchmark bundle uses dynamic thinking.</t>
  </si>
  <si>
    <t>Dense transformer</t>
  </si>
  <si>
    <t>30.7B</t>
  </si>
  <si>
    <t>Text, image; video via frames; no audio</t>
  </si>
  <si>
    <t>Thinking-token control</t>
  </si>
  <si>
    <t>Native function calling; agent-capable</t>
  </si>
  <si>
    <t>Free only</t>
  </si>
  <si>
    <t>LiveCodeBench v6 80.0; Codeforces 2150; GPQA Diamond 84.3</t>
  </si>
  <si>
    <t>31B is dense, not MoE. Gemini API paid tier is unavailable.</t>
  </si>
  <si>
    <t>Benchmark Evidence — Sessions 2–6</t>
  </si>
  <si>
    <t>Session 6 restores 100 inherited Session 2 headline evidence points and preserves exact Sessions 3–5 benchmark rows. Normalization is performed only within explicit comparable groups; source-specific Session 2 headline values remain non-comparable.</t>
  </si>
  <si>
    <t>Category</t>
  </si>
  <si>
    <t>Benchmark</t>
  </si>
  <si>
    <t>Version / Setting</t>
  </si>
  <si>
    <t>Score</t>
  </si>
  <si>
    <t>Unit</t>
  </si>
  <si>
    <t>Higher Better</t>
  </si>
  <si>
    <t>Comparable Group</t>
  </si>
  <si>
    <t>Source Type</t>
  </si>
  <si>
    <t>Source URL</t>
  </si>
  <si>
    <t>Coding</t>
  </si>
  <si>
    <t>Public / Gemini 3.5 comparison table</t>
  </si>
  <si>
    <t>%</t>
  </si>
  <si>
    <t>SWE-Bench Pro Public</t>
  </si>
  <si>
    <t>Official model/launch evidence</t>
  </si>
  <si>
    <t>Vendor-published; preserve table setting.</t>
  </si>
  <si>
    <t>Terminal</t>
  </si>
  <si>
    <t>Terminal-Bench</t>
  </si>
  <si>
    <t>2.1</t>
  </si>
  <si>
    <t>Tool use</t>
  </si>
  <si>
    <t>2026 table</t>
  </si>
  <si>
    <t>Computer use</t>
  </si>
  <si>
    <t>OSWorld Verified</t>
  </si>
  <si>
    <t>Long context</t>
  </si>
  <si>
    <t>MRCR</t>
  </si>
  <si>
    <t>128K</t>
  </si>
  <si>
    <t>MRCR 128K</t>
  </si>
  <si>
    <t>1M</t>
  </si>
  <si>
    <t>MRCR 1M</t>
  </si>
  <si>
    <t>Academic</t>
  </si>
  <si>
    <t>Humanity's Last Exam</t>
  </si>
  <si>
    <t>No tools</t>
  </si>
  <si>
    <t>HLE no tools</t>
  </si>
  <si>
    <t>ARC-AGI-2</t>
  </si>
  <si>
    <t>Public</t>
  </si>
  <si>
    <t>Agent</t>
  </si>
  <si>
    <t>Finance Agent</t>
  </si>
  <si>
    <t>v2</t>
  </si>
  <si>
    <t>Finance Agent v2</t>
  </si>
  <si>
    <t>Multimodal</t>
  </si>
  <si>
    <t>CharXiv</t>
  </si>
  <si>
    <t>MMMU-Pro</t>
  </si>
  <si>
    <t>Gemini CLI agent</t>
  </si>
  <si>
    <t>SWE-Bench Verified / Gemini CLI</t>
  </si>
  <si>
    <t>https://blog.google/technology/developers/introducing-gemini-cli-open-source-ai-agent/</t>
  </si>
  <si>
    <t>Agent/scaffold-specific.</t>
  </si>
  <si>
    <t>Speed</t>
  </si>
  <si>
    <t>Output speed</t>
  </si>
  <si>
    <t>Published model comparison</t>
  </si>
  <si>
    <t>tokens/s</t>
  </si>
  <si>
    <t>Endpoint/model comparison</t>
  </si>
  <si>
    <t>Serving setup may differ; exact published model comparison.</t>
  </si>
  <si>
    <t>LiveCodeBench</t>
  </si>
  <si>
    <t>Published comparison</t>
  </si>
  <si>
    <t>LiveCodeBench published comparison</t>
  </si>
  <si>
    <t>Video-MMMU</t>
  </si>
  <si>
    <t>Factuality</t>
  </si>
  <si>
    <t>SimpleQA Verified</t>
  </si>
  <si>
    <t>Google custom agent</t>
  </si>
  <si>
    <t>SWE-Bench Verified / Google custom agent</t>
  </si>
  <si>
    <t>https://blog.google/technology/developers/gemini-2-5-pro-flash-stable/</t>
  </si>
  <si>
    <t>Custom agent; not directly interchangeable with other scaffolds.</t>
  </si>
  <si>
    <t>Stable baseline cited by preview comparison</t>
  </si>
  <si>
    <t>SWE-Bench Verified / indirect stable baseline</t>
  </si>
  <si>
    <t>https://blog.google/technology/developers/updated-gemini-2-5-flash-and-flash-lite/</t>
  </si>
  <si>
    <t>Official comparison states preview improvement from 48.9 to 54; exact stable harness is not independently restated.</t>
  </si>
  <si>
    <t>Dynamic-thinking comparison</t>
  </si>
  <si>
    <t>LiveCodeBench dynamic thinking</t>
  </si>
  <si>
    <t>Do not equate with no-thinking.</t>
  </si>
  <si>
    <t>GPQA Diamond dynamic thinking</t>
  </si>
  <si>
    <t>MMMU</t>
  </si>
  <si>
    <t>MMMU dynamic thinking</t>
  </si>
  <si>
    <t>CharXiv dynamic thinking</t>
  </si>
  <si>
    <t>Video-MMMU dynamic thinking</t>
  </si>
  <si>
    <t>SimpleQA</t>
  </si>
  <si>
    <t>SimpleQA dynamic thinking</t>
  </si>
  <si>
    <t>128K / dynamic thinking</t>
  </si>
  <si>
    <t>MRCR 128K dynamic thinking</t>
  </si>
  <si>
    <t>1M / dynamic thinking</t>
  </si>
  <si>
    <t>MRCR 1M dynamic thinking</t>
  </si>
  <si>
    <t>HLE dynamic thinking</t>
  </si>
  <si>
    <t>v6</t>
  </si>
  <si>
    <t>LiveCodeBench v6</t>
  </si>
  <si>
    <t>Official model-card result.</t>
  </si>
  <si>
    <t>Codeforces</t>
  </si>
  <si>
    <t>Elo</t>
  </si>
  <si>
    <t>Codeforces Elo</t>
  </si>
  <si>
    <t>Model card</t>
  </si>
  <si>
    <t>Tau2</t>
  </si>
  <si>
    <t>Average</t>
  </si>
  <si>
    <t>Tau2 average</t>
  </si>
  <si>
    <t>Agent/search</t>
  </si>
  <si>
    <t>With search</t>
  </si>
  <si>
    <t>HLE with search</t>
  </si>
  <si>
    <t>MMLU-Pro</t>
  </si>
  <si>
    <t>AIME 2026</t>
  </si>
  <si>
    <t>AIME 2026 no tools</t>
  </si>
  <si>
    <t>MRCR v2 8-needle</t>
  </si>
  <si>
    <t>MRCR v2 8-needle 128K</t>
  </si>
  <si>
    <t>Mistral AI</t>
  </si>
  <si>
    <t>Mistral Medium 3.5</t>
  </si>
  <si>
    <t>Official launch evaluation</t>
  </si>
  <si>
    <t>SWE-Bench Verified / Mistral evaluation</t>
  </si>
  <si>
    <t>Official model card / launch evidence</t>
  </si>
  <si>
    <t>https://mistral.ai/news/vibe-remote-agents-mistral-medium-3-5/</t>
  </si>
  <si>
    <t>Exact scaffold details should be reconciled before cross-provider normalization.</t>
  </si>
  <si>
    <t>Tau³ Telecom</t>
  </si>
  <si>
    <t>Tau3 Telecom</t>
  </si>
  <si>
    <t>Published as τ³-Telecom.</t>
  </si>
  <si>
    <t>Mistral Small 4</t>
  </si>
  <si>
    <t>Qualitative official comparison</t>
  </si>
  <si>
    <t>claim</t>
  </si>
  <si>
    <t>LiveCodeBench qualitative</t>
  </si>
  <si>
    <t>https://mistral.ai/news/mistral-small-4/</t>
  </si>
  <si>
    <t>Official claim: outperforms GPT-OSS 120B with 20% less output; exact score absent in accessible official text.</t>
  </si>
  <si>
    <t>Efficiency</t>
  </si>
  <si>
    <t>Completion time</t>
  </si>
  <si>
    <t>Versus Mistral Small 3</t>
  </si>
  <si>
    <t>% reduction</t>
  </si>
  <si>
    <t>Operational efficiency / relative</t>
  </si>
  <si>
    <t>Relative product metric, not an absolute benchmark.</t>
  </si>
  <si>
    <t>Throughput</t>
  </si>
  <si>
    <t>Requests per second</t>
  </si>
  <si>
    <t>x</t>
  </si>
  <si>
    <t>Relative product metric, not verified endpoint TPS.</t>
  </si>
  <si>
    <t>Mistral Large 3</t>
  </si>
  <si>
    <t>Coding capability</t>
  </si>
  <si>
    <t>Official launch qualitative</t>
  </si>
  <si>
    <t>Qualitative coding evidence</t>
  </si>
  <si>
    <t>https://mistral.ai/news/mistral-3/</t>
  </si>
  <si>
    <t>Official launch describes coding and agentic capability; no exact accessible coding score.</t>
  </si>
  <si>
    <t>Codestral 25.08</t>
  </si>
  <si>
    <t>Product quality</t>
  </si>
  <si>
    <t>Accepted completions</t>
  </si>
  <si>
    <t>Versus previous Codestral</t>
  </si>
  <si>
    <t>% increase</t>
  </si>
  <si>
    <t>Codestral operational metric</t>
  </si>
  <si>
    <t>https://mistral.ai/news/codestral-25-08/</t>
  </si>
  <si>
    <t>Relative production metric, not an absolute benchmark.</t>
  </si>
  <si>
    <t>Retained code</t>
  </si>
  <si>
    <t>Relative production metric.</t>
  </si>
  <si>
    <t>Runaway generations</t>
  </si>
  <si>
    <t>Lower is better in the source; stored as reduction magnitude.</t>
  </si>
  <si>
    <t>Devstral 2</t>
  </si>
  <si>
    <t>https://mistral.ai/news/devstral-2-vibe-cli/</t>
  </si>
  <si>
    <t>Deprecated model; retain only as historical/current-until-retirement evidence.</t>
  </si>
  <si>
    <t>BF16</t>
  </si>
  <si>
    <t>SWE-Bench Verified / BF16</t>
  </si>
  <si>
    <t>Canonical BF16 model result.</t>
  </si>
  <si>
    <t>NVFP4</t>
  </si>
  <si>
    <t>SWE-Bench Verified / NVFP4</t>
  </si>
  <si>
    <t>Quantized deployment result; not a separate model row.</t>
  </si>
  <si>
    <t>2.1 / BF16</t>
  </si>
  <si>
    <t>Terminal-Bench 2.1 / BF16</t>
  </si>
  <si>
    <t>2.1 / NVFP4</t>
  </si>
  <si>
    <t>Terminal-Bench 2.1 / NVFP4</t>
  </si>
  <si>
    <t>Quantized deployment result.</t>
  </si>
  <si>
    <t>SWE-Bench Multilingual</t>
  </si>
  <si>
    <t>SWE-Bench Multilingual / BF16</t>
  </si>
  <si>
    <t>TauBench V3</t>
  </si>
  <si>
    <t>Average / BF16</t>
  </si>
  <si>
    <t>TauBench V3 / BF16</t>
  </si>
  <si>
    <t>No tools / BF16</t>
  </si>
  <si>
    <t>GPQA no tools / BF16</t>
  </si>
  <si>
    <t>RULER</t>
  </si>
  <si>
    <t>1M / BF16</t>
  </si>
  <si>
    <t>RULER 1M / BF16</t>
  </si>
  <si>
    <t>v5</t>
  </si>
  <si>
    <t>LiveCodeBench v5</t>
  </si>
  <si>
    <t>Terminal-Bench Core</t>
  </si>
  <si>
    <t>2.0</t>
  </si>
  <si>
    <t>Terminal-Bench Core 2.0</t>
  </si>
  <si>
    <t>OpenHands scaffold</t>
  </si>
  <si>
    <t>SWE-Bench Verified / OpenHands</t>
  </si>
  <si>
    <t>Scaffold-specific.</t>
  </si>
  <si>
    <t>OpenCode scaffold</t>
  </si>
  <si>
    <t>SWE-Bench Verified / OpenCode</t>
  </si>
  <si>
    <t>Codex scaffold</t>
  </si>
  <si>
    <t>SWE-Bench Verified / Codex</t>
  </si>
  <si>
    <t>TauBench V2</t>
  </si>
  <si>
    <t>TauBench V2 average</t>
  </si>
  <si>
    <t>GPQA</t>
  </si>
  <si>
    <t>GPQA no tools</t>
  </si>
  <si>
    <t>RULER 1M</t>
  </si>
  <si>
    <t>Hard</t>
  </si>
  <si>
    <t>Terminal-Bench hard</t>
  </si>
  <si>
    <t>BFCL</t>
  </si>
  <si>
    <t>v4</t>
  </si>
  <si>
    <t>BFCL v4</t>
  </si>
  <si>
    <t>Official model card</t>
  </si>
  <si>
    <t>Document/OCR</t>
  </si>
  <si>
    <t>OCRBenchV2</t>
  </si>
  <si>
    <t>English</t>
  </si>
  <si>
    <t>OCRBenchV2 EN</t>
  </si>
  <si>
    <t>CharXiv reasoning</t>
  </si>
  <si>
    <t>MMLongBench-Doc</t>
  </si>
  <si>
    <t>MathVista</t>
  </si>
  <si>
    <t>Mini</t>
  </si>
  <si>
    <t>MathVista Mini</t>
  </si>
  <si>
    <t>Video</t>
  </si>
  <si>
    <t>Video-MME</t>
  </si>
  <si>
    <t>Omnimodal</t>
  </si>
  <si>
    <t>DailyOmni</t>
  </si>
  <si>
    <t>Audio</t>
  </si>
  <si>
    <t>Voice interaction</t>
  </si>
  <si>
    <t>Ministral 3 14B</t>
  </si>
  <si>
    <t>MBPP</t>
  </si>
  <si>
    <t>Base model / 3-shot Pass@1</t>
  </si>
  <si>
    <t>MBPP 3-shot Pass@1</t>
  </si>
  <si>
    <t>Official / primary evidence</t>
  </si>
  <si>
    <t>https://arxiv.org/abs/2601.08584</t>
  </si>
  <si>
    <t>Base-model technical-report result; not the instruct API endpoint.</t>
  </si>
  <si>
    <t>v6 / reasoning variant / pass@5</t>
  </si>
  <si>
    <t>LiveCodeBench v6 reasoning pass@5</t>
  </si>
  <si>
    <t>Reasoning-variant result. The locked workbook keeps one row per size rather than splitting post-training variants.</t>
  </si>
  <si>
    <t>Reasoning variant / pass@16</t>
  </si>
  <si>
    <t>GPQA reasoning pass@16</t>
  </si>
  <si>
    <t>AIME 2025</t>
  </si>
  <si>
    <t>AIME 2025 reasoning pass@16</t>
  </si>
  <si>
    <t>Base model / 2-shot</t>
  </si>
  <si>
    <t>MMMU base 2-shot</t>
  </si>
  <si>
    <t>Base model</t>
  </si>
  <si>
    <t>MathVista base</t>
  </si>
  <si>
    <t>Instruction following</t>
  </si>
  <si>
    <t>Arena Hard</t>
  </si>
  <si>
    <t>Instruct variant</t>
  </si>
  <si>
    <t>Arena Hard instruct</t>
  </si>
  <si>
    <t>WildBench</t>
  </si>
  <si>
    <t>WildBench instruct</t>
  </si>
  <si>
    <t>Multimodal instruction</t>
  </si>
  <si>
    <t>MM MTBench</t>
  </si>
  <si>
    <t>MM MTBench instruct</t>
  </si>
  <si>
    <t>Ministral 3 8B</t>
  </si>
  <si>
    <t>Ministral 3 3B</t>
  </si>
  <si>
    <t>Tencent</t>
  </si>
  <si>
    <t>Full release / SWE-agent scaffold</t>
  </si>
  <si>
    <t>SWE-Bench Pro / SWE-agent</t>
  </si>
  <si>
    <t>Vendor-reported full-release result.</t>
  </si>
  <si>
    <t>SWE-Bench Multilingual / SWE-agent</t>
  </si>
  <si>
    <t>SWE-Bench Verified / SWE-agent</t>
  </si>
  <si>
    <t>NL2Repo</t>
  </si>
  <si>
    <t>DeepSWE</t>
  </si>
  <si>
    <t>Search agent</t>
  </si>
  <si>
    <t>BrowseComp</t>
  </si>
  <si>
    <t>MCP Atlas public</t>
  </si>
  <si>
    <t>ClawEval</t>
  </si>
  <si>
    <t>Pass^3</t>
  </si>
  <si>
    <t>ClawEval pass^3</t>
  </si>
  <si>
    <t>SkillsBench</t>
  </si>
  <si>
    <t>Text-only</t>
  </si>
  <si>
    <t>SkillsBench text-only</t>
  </si>
  <si>
    <t>Academic/agent</t>
  </si>
  <si>
    <t>With tools / text-only</t>
  </si>
  <si>
    <t>HLE with tools text-only</t>
  </si>
  <si>
    <t>FrontierScience-Olympiad</t>
  </si>
  <si>
    <t>MathArena Apex</t>
  </si>
  <si>
    <t>AA-LCR</t>
  </si>
  <si>
    <t>Context-learning/long-context result, not a context-capacity score.</t>
  </si>
  <si>
    <t>StepFun</t>
  </si>
  <si>
    <t>Source labels this SWE-MTLG.</t>
  </si>
  <si>
    <t>A launch chart displays 59.5 while the detailed table reports 59.6; detailed table retained.</t>
  </si>
  <si>
    <t>Internal fixed version</t>
  </si>
  <si>
    <t>Toolathlon internal fixed version</t>
  </si>
  <si>
    <t>Do not merge with public Toolathlon results without version reconciliation.</t>
  </si>
  <si>
    <t>v1.1 / Pass^3</t>
  </si>
  <si>
    <t>ClawEval v1.1 pass^3</t>
  </si>
  <si>
    <t>With tools</t>
  </si>
  <si>
    <t>HLE with tools</t>
  </si>
  <si>
    <t>DeepSearchQA</t>
  </si>
  <si>
    <t>F1</t>
  </si>
  <si>
    <t>DeepSearchQA F1</t>
  </si>
  <si>
    <t>Accuracy</t>
  </si>
  <si>
    <t>DeepSearchQA accuracy</t>
  </si>
  <si>
    <t>Research agent</t>
  </si>
  <si>
    <t>ResearchRubrics</t>
  </si>
  <si>
    <t>Professional tasks</t>
  </si>
  <si>
    <t>GDPval-Stirrup</t>
  </si>
  <si>
    <t>Internal pairwise evaluation</t>
  </si>
  <si>
    <t>GDPval-Stirrup internal</t>
  </si>
  <si>
    <t>Internal evaluation setting.</t>
  </si>
  <si>
    <t>Vision</t>
  </si>
  <si>
    <t>SimpleVQA</t>
  </si>
  <si>
    <t>SimpleVQA with tools</t>
  </si>
  <si>
    <t>WorldVQA</t>
  </si>
  <si>
    <t>BC-VL</t>
  </si>
  <si>
    <t>Vision/coding</t>
  </si>
  <si>
    <t>V*</t>
  </si>
  <si>
    <t>With Python</t>
  </si>
  <si>
    <t>V* with Python</t>
  </si>
  <si>
    <t>HR-Bench</t>
  </si>
  <si>
    <t>4K</t>
  </si>
  <si>
    <t>HR-Bench 4K</t>
  </si>
  <si>
    <t>8K</t>
  </si>
  <si>
    <t>HR-Bench 8K</t>
  </si>
  <si>
    <t>Android Daily</t>
  </si>
  <si>
    <t>Coding agent</t>
  </si>
  <si>
    <t>Step-SWE-Bench</t>
  </si>
  <si>
    <t>Six-harness average</t>
  </si>
  <si>
    <t>Step-SWE-Bench six-harness average</t>
  </si>
  <si>
    <t>Average across Hermes, OpenClaw, Claude Code, KiloCode, OpenCode, and RooCode.</t>
  </si>
  <si>
    <t>Hermes harness</t>
  </si>
  <si>
    <t>Step-SWE-Bench / Hermes</t>
  </si>
  <si>
    <t>Harness-specific.</t>
  </si>
  <si>
    <t>OpenClaw harness</t>
  </si>
  <si>
    <t>Step-SWE-Bench / OpenClaw</t>
  </si>
  <si>
    <t>Claude Code harness</t>
  </si>
  <si>
    <t>Step-SWE-Bench / Claude Code</t>
  </si>
  <si>
    <t>KiloCode harness</t>
  </si>
  <si>
    <t>Step-SWE-Bench / KiloCode</t>
  </si>
  <si>
    <t>OpenCode harness</t>
  </si>
  <si>
    <t>Step-SWE-Bench / OpenCode</t>
  </si>
  <si>
    <t>RooCode harness</t>
  </si>
  <si>
    <t>Step-SWE-Bench / RooCode</t>
  </si>
  <si>
    <t>Base agent / $0.12 per task</t>
  </si>
  <si>
    <t>SWE-Bench Verified advisor comparison</t>
  </si>
  <si>
    <t>Cost is source-reported task cost, not API-list-price normalization.</t>
  </si>
  <si>
    <t>+ Advisor / $0.19 per task</t>
  </si>
  <si>
    <t>Advisor is a system configuration, not a separate model row.</t>
  </si>
  <si>
    <t>Session 2 headline</t>
  </si>
  <si>
    <t>Not normalized — Session 2 source-specific headline</t>
  </si>
  <si>
    <t>Inherited authoritative Session 2 workbook</t>
  </si>
  <si>
    <t>Headline value restored; exact harness/source setting remains attached in the Session 2 source and is not mixed across vendors.</t>
  </si>
  <si>
    <t>2.1 / Session 2 headline</t>
  </si>
  <si>
    <t>Headline Long-Context</t>
  </si>
  <si>
    <t>Session 2 source-specific</t>
  </si>
  <si>
    <t>GPT-5.5</t>
  </si>
  <si>
    <t>2.0 / Session 2 headline</t>
  </si>
  <si>
    <t>GPT-5.4</t>
  </si>
  <si>
    <t>https://openai.com/index/introducing-gpt-5-4/</t>
  </si>
  <si>
    <t>GPT-5.4 mini</t>
  </si>
  <si>
    <t>https://openai.com/index/introducing-gpt-5-4-mini-and-nano/</t>
  </si>
  <si>
    <t>Anthropic</t>
  </si>
  <si>
    <t>Claude Fable 5</t>
  </si>
  <si>
    <t>https://www-cdn.anthropic.com/d00db56fa754a1b115b6dd7cb2e3c342ee809620.pdf</t>
  </si>
  <si>
    <t>Claude Opus 4.8</t>
  </si>
  <si>
    <t>https://www-cdn.anthropic.com/0b4915911bb0d19eca5b5ee635c80fef830a37ea.pdf</t>
  </si>
  <si>
    <t>Claude Sonnet 5</t>
  </si>
  <si>
    <t>https://www-cdn.anthropic.com/9e6a1044980d8c4ed85669faf9c2a8342e2e9f1e/Claude%20Sonnet%205%20System%20Card.pdf</t>
  </si>
  <si>
    <t>Claude Haiku 4.5</t>
  </si>
  <si>
    <t>https://www.anthropic.com/news/claude-haiku-4-5</t>
  </si>
  <si>
    <t>Provider Limits, Pricing &amp; Cost Eligibility — Session 6 Final</t>
  </si>
  <si>
    <t>All 51 models are included. Reference request cost uses 10k new input + 100k cached input + 4k output when directly calculable. It is illustrative; Balanced/Value eligibility still requires global evidence eligibility.</t>
  </si>
  <si>
    <t>Access / Package</t>
  </si>
  <si>
    <t>Commercial Basis</t>
  </si>
  <si>
    <t>Limits / Notes</t>
  </si>
  <si>
    <t>Model Count</t>
  </si>
  <si>
    <t>Official Source</t>
  </si>
  <si>
    <t>ChatGPT Plus / Codex + API</t>
  </si>
  <si>
    <t>$20/mo Plus; API token billing</t>
  </si>
  <si>
    <t>5h model-dependent local-message ranges; additional limits may apply.</t>
  </si>
  <si>
    <t>$5 first month; $10/mo</t>
  </si>
  <si>
    <t>$12 / 5h, $30 weekly, $60 monthly allowance; request counts are estimates.</t>
  </si>
  <si>
    <t>Claude API</t>
  </si>
  <si>
    <t>Usage-based API</t>
  </si>
  <si>
    <t>Tier/account rate and spend limits.</t>
  </si>
  <si>
    <t>https://platform.claude.com/docs/en/about-claude/pricing</t>
  </si>
  <si>
    <t>Spend-tier rate limits; token and tool charges are separate.</t>
  </si>
  <si>
    <t>Free + paid token tiers</t>
  </si>
  <si>
    <t>Model-specific free-tier and grounding limits.</t>
  </si>
  <si>
    <t>Mistral API / open weights</t>
  </si>
  <si>
    <t>Limited free access; production token prices used where documented.</t>
  </si>
  <si>
    <t>https://docs.mistral.ai/models</t>
  </si>
  <si>
    <t>Hosted trial / NIM / open weights</t>
  </si>
  <si>
    <t>Deployment-dependent</t>
  </si>
  <si>
    <t>No comparable public production token tariff for retained Nemotron rows.</t>
  </si>
  <si>
    <t>https://build.nvidia.com/explore/discover</t>
  </si>
  <si>
    <t>TokenHub / open weights</t>
  </si>
  <si>
    <t>Undocumented comparable tariff</t>
  </si>
  <si>
    <t>Hy3 hosted and self-host paths exist; missing cost is not zero.</t>
  </si>
  <si>
    <t>StepFun API / open weights / NIM</t>
  </si>
  <si>
    <t>CNY tariff normalized to USD</t>
  </si>
  <si>
    <t>Converted using CFETS USD/CNY 6.7989, latest business day 2026-07-10.</t>
  </si>
  <si>
    <t>Package / Access</t>
  </si>
  <si>
    <t>Intro USD</t>
  </si>
  <si>
    <t>5h Min</t>
  </si>
  <si>
    <t>5h Max</t>
  </si>
  <si>
    <t>Weekly</t>
  </si>
  <si>
    <t>Monthly</t>
  </si>
  <si>
    <t>Long Cached $/M</t>
  </si>
  <si>
    <t>Long Cache Write $/M</t>
  </si>
  <si>
    <t>Reference Request Cost $</t>
  </si>
  <si>
    <t>Hosted Cost Basis</t>
  </si>
  <si>
    <t>Global Cost-Rank Eligible</t>
  </si>
  <si>
    <t>Current / GA</t>
  </si>
  <si>
    <t>Grok 4.3</t>
  </si>
  <si>
    <t>Current predecessor</t>
  </si>
  <si>
    <t>Grok 4.20 Reasoning</t>
  </si>
  <si>
    <t>Grok 4.20 Non-Reasoning</t>
  </si>
  <si>
    <t>Grok 4.20 Multi-Agent</t>
  </si>
  <si>
    <t>Current / beta</t>
  </si>
  <si>
    <t>Grok Build 0.1</t>
  </si>
  <si>
    <t>Public beta</t>
  </si>
  <si>
    <t>Preview / predecessor endpoint</t>
  </si>
  <si>
    <t>Gemini API / open weights</t>
  </si>
  <si>
    <t>Current / open weights; Vibe public preview</t>
  </si>
  <si>
    <t>https://docs.mistral.ai/models/model-cards/mistral-medium-3-5-26-04</t>
  </si>
  <si>
    <t>Current / open weights</t>
  </si>
  <si>
    <t>https://docs.mistral.ai/models/model-cards/mistral-small-4-0-26-03</t>
  </si>
  <si>
    <t>https://docs.mistral.ai/models/model-cards/mistral-large-3-25-12</t>
  </si>
  <si>
    <t>Mistral API</t>
  </si>
  <si>
    <t>Current / Premier</t>
  </si>
  <si>
    <t>https://docs.mistral.ai/models/model-cards/codestral-25-08</t>
  </si>
  <si>
    <t>Deprecated / retires 2026-07-31</t>
  </si>
  <si>
    <t>https://docs.mistral.ai/models/model-cards/ministral-3-14b-25-12</t>
  </si>
  <si>
    <t>https://docs.mistral.ai/models/model-cards/ministral-3-8b-25-12</t>
  </si>
  <si>
    <t>https://docs.mistral.ai/models/model-cards/ministral-3-3b-25-12</t>
  </si>
  <si>
    <t>Tencent Cloud TokenHub / open weights</t>
  </si>
  <si>
    <t>StepFun API / open weights / NVIDIA NIM</t>
  </si>
  <si>
    <t>Methodology, Ranking Freeze &amp; Source Registry — Target Roster Complete</t>
  </si>
  <si>
    <t>Session 5 closes the locked 32-model expansion. The remaining safeguards still apply: one materially distinct endpoint row, explicit post-training/harness settings, blank-not-zero missing prices, native-currency preservation, and no ranking changes until Session 6.</t>
  </si>
  <si>
    <t>Rule</t>
  </si>
  <si>
    <t>Decision</t>
  </si>
  <si>
    <t>Operational Effect</t>
  </si>
  <si>
    <t>Session 3 Application</t>
  </si>
  <si>
    <t>Cross-provider Comparable?</t>
  </si>
  <si>
    <t>Caveat</t>
  </si>
  <si>
    <t>Ranking freeze</t>
  </si>
  <si>
    <t>Do not change global composites, ranks, or router recommendations until Session 6.</t>
  </si>
  <si>
    <t>New rows retain blank Capability/Balanced/Value scores and all rank fields.</t>
  </si>
  <si>
    <t>Applied to all eight Google rows.</t>
  </si>
  <si>
    <t>N/A</t>
  </si>
  <si>
    <t>Preliminary factor scores are not final rankings.</t>
  </si>
  <si>
    <t>Locked</t>
  </si>
  <si>
    <t>Raw evidence</t>
  </si>
  <si>
    <t>Store exact score, version, setting, and harness.</t>
  </si>
  <si>
    <t>Benchmarks sheet separates every published result.</t>
  </si>
  <si>
    <t>64 Google benchmark evidence rows added.</t>
  </si>
  <si>
    <t>Only within matching comparable group</t>
  </si>
  <si>
    <t>Vendor tables may use different agents or scaffolds.</t>
  </si>
  <si>
    <t>Applied</t>
  </si>
  <si>
    <t>Missing values</t>
  </si>
  <si>
    <t>Blank is not zero.</t>
  </si>
  <si>
    <t>Do not infer absent benchmark, TPS, output limit, or paid price.</t>
  </si>
  <si>
    <t>Most exact TPS fields remain blank; Gemma paid tier marked unavailable.</t>
  </si>
  <si>
    <t>Qualitative speed remains provisional.</t>
  </si>
  <si>
    <t>Endpoint identity</t>
  </si>
  <si>
    <t>One row per materially distinct public endpoint.</t>
  </si>
  <si>
    <t>Aliases, snapshots, reasoning levels, and custom-tools variants are not rows.</t>
  </si>
  <si>
    <t>Custom-tools not split; stable and preview endpoints remain separate where materially distinct.</t>
  </si>
  <si>
    <t>Preview lifecycle must be rechecked.</t>
  </si>
  <si>
    <t>Include public active stable/GA/preview endpoints.</t>
  </si>
  <si>
    <t>Shut-down previews are excluded.</t>
  </si>
  <si>
    <t>Gemini 3.1 Flash-Lite preview excluded; stable endpoint retained.</t>
  </si>
  <si>
    <t>Gemini 3 Flash Preview remains a preview predecessor.</t>
  </si>
  <si>
    <t>Cost basis</t>
  </si>
  <si>
    <t>Do not mix self-hosting cost with API token pricing.</t>
  </si>
  <si>
    <t>Balanced/Value ranking requires comparable access cost.</t>
  </si>
  <si>
    <t>Gemma API free-only status recorded; self-host cost omitted.</t>
  </si>
  <si>
    <t>Zero price means free hosted tier, not zero deployment cost.</t>
  </si>
  <si>
    <t>Context capacity is not retrieval quality.</t>
  </si>
  <si>
    <t>Use MRCR or comparable retrieval evidence when available.</t>
  </si>
  <si>
    <t>128K and 1M evidence stored separately.</t>
  </si>
  <si>
    <t>Only within exact version/setting</t>
  </si>
  <si>
    <t>Headline field uses 128K result; 1M retained in raw evidence.</t>
  </si>
  <si>
    <t>Source Category</t>
  </si>
  <si>
    <t>Provider / Model</t>
  </si>
  <si>
    <t>URL</t>
  </si>
  <si>
    <t>Reliability</t>
  </si>
  <si>
    <t>Used For</t>
  </si>
  <si>
    <t>Roster / lifecycle</t>
  </si>
  <si>
    <t>Google Gemini API</t>
  </si>
  <si>
    <t>https://ai.google.dev/gemini-api/docs/models</t>
  </si>
  <si>
    <t>Official documentation</t>
  </si>
  <si>
    <t>High</t>
  </si>
  <si>
    <t>Current endpoints, lifecycle, canonical IDs</t>
  </si>
  <si>
    <t>Media-only and shut-down models excluded.</t>
  </si>
  <si>
    <t>Pricing</t>
  </si>
  <si>
    <t>Standard API token and cache pricing</t>
  </si>
  <si>
    <t>Pricing page changes over time; recheck before Session 6.</t>
  </si>
  <si>
    <t>Specs</t>
  </si>
  <si>
    <t>Official model page</t>
  </si>
  <si>
    <t>Context, output, modalities, tools, status</t>
  </si>
  <si>
    <t>Custom-tools is a variant.</t>
  </si>
  <si>
    <t>Context, modalities, tools, stable status</t>
  </si>
  <si>
    <t>No exact endpoint TPS in API page.</t>
  </si>
  <si>
    <t>Preview endpoint identity and capabilities</t>
  </si>
  <si>
    <t>Do not merge with stable 3.5 Flash.</t>
  </si>
  <si>
    <t>Stable endpoint, context, modalities, tools</t>
  </si>
  <si>
    <t>Preview endpoint was shut down.</t>
  </si>
  <si>
    <t>Gemini 2.5 models</t>
  </si>
  <si>
    <t>2.5 Pro specifications</t>
  </si>
  <si>
    <t>Stable previous-generation baseline.</t>
  </si>
  <si>
    <t>2.5 Flash specifications</t>
  </si>
  <si>
    <t>2.5 Flash-Lite specifications</t>
  </si>
  <si>
    <t>Dynamic-thinking benchmark caveat.</t>
  </si>
  <si>
    <t>Benchmarks</t>
  </si>
  <si>
    <t>Gemini 3.x / Flash-Lite</t>
  </si>
  <si>
    <t>Official model performance pages</t>
  </si>
  <si>
    <t>Coding, terminal, tools, multimodal, speed, long context</t>
  </si>
  <si>
    <t>Preserve exact table settings.</t>
  </si>
  <si>
    <t>Gemini 2.5 stable</t>
  </si>
  <si>
    <t>Official Google launch report</t>
  </si>
  <si>
    <t>SWE-Bench Verified and release evidence</t>
  </si>
  <si>
    <t>Custom-agent harness.</t>
  </si>
  <si>
    <t>Roster / architecture</t>
  </si>
  <si>
    <t>Five-model family, dense 31B architecture, specs, benchmarks</t>
  </si>
  <si>
    <t>31B is dense; 26B A4B is MoE.</t>
  </si>
  <si>
    <t>Hosted availability</t>
  </si>
  <si>
    <t>Gemma 4 on Gemini API</t>
  </si>
  <si>
    <t>Hosted 31B endpoint and canonical ID</t>
  </si>
  <si>
    <t>Paid tier unavailable at verification.</t>
  </si>
  <si>
    <t>Release dates</t>
  </si>
  <si>
    <t>Gemini API changelog</t>
  </si>
  <si>
    <t>https://ai.google.dev/gemini-api/docs/changelog</t>
  </si>
  <si>
    <t>Official changelog</t>
  </si>
  <si>
    <t>GA/preview/API launch dates</t>
  </si>
  <si>
    <t>Use model pages if lifecycle conflicts.</t>
  </si>
  <si>
    <t>Baseline workbook</t>
  </si>
  <si>
    <t>Sessions 1–2</t>
  </si>
  <si>
    <t>AI_Coding_Models_Master_2026-07-10_Session2_Anthropic_xAI.xlsx</t>
  </si>
  <si>
    <t>User File Library workbook</t>
  </si>
  <si>
    <t>Pre-Google model rows and frozen ranking state</t>
  </si>
  <si>
    <t>Original binary was not mounted in this runtime; detailed old values remain authoritative there.</t>
  </si>
  <si>
    <t>Session 4 Source Category</t>
  </si>
  <si>
    <t>https://docs.mistral.ai/models/overview</t>
  </si>
  <si>
    <t>Current, specialist, deprecated, and retirement status</t>
  </si>
  <si>
    <t>Devstral 2 retires 2026-07-31.</t>
  </si>
  <si>
    <t>Specs / pricing</t>
  </si>
  <si>
    <t>Canonical ID, 256K, price, tools, open status</t>
  </si>
  <si>
    <t>Vibe delivery separately described as public preview.</t>
  </si>
  <si>
    <t>Benchmark / architecture</t>
  </si>
  <si>
    <t>Official launch report</t>
  </si>
  <si>
    <t>128B dense, reasoning effort, SWE-Bench 77.6, Tau3 91.4</t>
  </si>
  <si>
    <t>Scaffold details require final reconciliation.</t>
  </si>
  <si>
    <t>119B/6.5B, 256K, API price, tools</t>
  </si>
  <si>
    <t>Numeric coding benchmark absent in accessible card text.</t>
  </si>
  <si>
    <t>Benchmark / efficiency</t>
  </si>
  <si>
    <t>Relative LiveCodeBench and throughput claims</t>
  </si>
  <si>
    <t>Relative claims are not absolute cross-model scores.</t>
  </si>
  <si>
    <t>675B/41B, 256K, API price, tools</t>
  </si>
  <si>
    <t>Numeric coding benchmark absent.</t>
  </si>
  <si>
    <t>128K, FIM specialization, price</t>
  </si>
  <si>
    <t>Premier specialist model.</t>
  </si>
  <si>
    <t>Product evidence</t>
  </si>
  <si>
    <t>Accepted/retained/runaway relative metrics</t>
  </si>
  <si>
    <t>Not an absolute benchmark.</t>
  </si>
  <si>
    <t>Lifecycle / specs</t>
  </si>
  <si>
    <t>https://docs.mistral.ai/models/model-cards/devstral-2-25-12</t>
  </si>
  <si>
    <t>256K, deprecation, replacement</t>
  </si>
  <si>
    <t>Retires 2026-07-31.</t>
  </si>
  <si>
    <t>Benchmark / pricing</t>
  </si>
  <si>
    <t>123B, SWE-Bench 72.2, $0.40/$2.00</t>
  </si>
  <si>
    <t>Historical launch price retained.</t>
  </si>
  <si>
    <t>Family architecture</t>
  </si>
  <si>
    <t>https://research.nvidia.com/labs/nemotron/Nemotron-3/</t>
  </si>
  <si>
    <t>Official NVIDIA research page</t>
  </si>
  <si>
    <t>Nano/Super/Ultra family, hybrid MoE, long context</t>
  </si>
  <si>
    <t>Omni is recorded as a Nano-family multimodal extension.</t>
  </si>
  <si>
    <t>Specs / benchmarks</t>
  </si>
  <si>
    <t>Nemotron 3 Ultra</t>
  </si>
  <si>
    <t>Official NVIDIA model card</t>
  </si>
  <si>
    <t>550B/55B, 1M, BF16/NVFP4 benchmark tables</t>
  </si>
  <si>
    <t>Precision variants are not separate models.</t>
  </si>
  <si>
    <t>Nemotron 3 Super</t>
  </si>
  <si>
    <t>120B/12B, scaffold-specific coding, 1M</t>
  </si>
  <si>
    <t>SWE-Bench values remain separated by scaffold.</t>
  </si>
  <si>
    <t>Nemotron 3 Nano</t>
  </si>
  <si>
    <t>30B/3B, tools, coding, 1M</t>
  </si>
  <si>
    <t>Default serving context may differ.</t>
  </si>
  <si>
    <t>31B/3B, 256K, image/video/audio/text, OSWorld</t>
  </si>
  <si>
    <t>No direct coding benchmark.</t>
  </si>
  <si>
    <t>Session 5 Source Category</t>
  </si>
  <si>
    <t>Locked roster</t>
  </si>
  <si>
    <t>Session 5 scope</t>
  </si>
  <si>
    <t>AI_Coding_Models_Master_2026-07-10_Session1_Scope.xlsx</t>
  </si>
  <si>
    <t>User workbook / methodology lock</t>
  </si>
  <si>
    <t>Confirm three Ministral sizes, Hy3, and Step 3.7 Flash were approved</t>
  </si>
  <si>
    <t>Session 4 exclusion of Ministral sizes is corrected here.</t>
  </si>
  <si>
    <t>ID, lifecycle, 256K, modalities, tools, $0.20/$0.20 pricing</t>
  </si>
  <si>
    <t>Reasoning variant context differs from general model card.</t>
  </si>
  <si>
    <t>ID, lifecycle, 256K, modalities, tools, $0.15/$0.15 pricing</t>
  </si>
  <si>
    <t>ID, lifecycle, 256K, modalities, tools, $0.10/$0.10 pricing</t>
  </si>
  <si>
    <t>Architecture / benchmarks</t>
  </si>
  <si>
    <t>Ministral 3 family</t>
  </si>
  <si>
    <t>Primary technical report</t>
  </si>
  <si>
    <t>Architecture, 410M ViT, 256K/128K variant context, MBPP, LCB, GPQA, multimodal benchmarks</t>
  </si>
  <si>
    <t>Base, instruct, and reasoning results kept separate.</t>
  </si>
  <si>
    <t>Release / access</t>
  </si>
  <si>
    <t>Official Tencent release</t>
  </si>
  <si>
    <t>2026-07-06 release, TokenHub API, full release supersedes preview, 295B/21B/256K</t>
  </si>
  <si>
    <t>No public comparable tariff captured.</t>
  </si>
  <si>
    <t>Architecture, reasoning modes, tools, deployment, full benchmark appendix</t>
  </si>
  <si>
    <t>Vendor-reported results; SWE series uses specified scaffold.</t>
  </si>
  <si>
    <t>Official platform documentation</t>
  </si>
  <si>
    <t>198B/11B, 256K, modalities, reasoning levels, tools, native CNY price</t>
  </si>
  <si>
    <t>USD fields intentionally blank.</t>
  </si>
  <si>
    <t>Release / benchmarks</t>
  </si>
  <si>
    <t>2026-05-29 release, coding/agent/vision/search results, access paths</t>
  </si>
  <si>
    <t>196B + 1.8B ViT display differs from docs' 198B total.</t>
  </si>
  <si>
    <t>Session 6 Rule</t>
  </si>
  <si>
    <t>Locked / Applied Decision</t>
  </si>
  <si>
    <t>Operational Result</t>
  </si>
  <si>
    <t>Count / Formula</t>
  </si>
  <si>
    <t>QC Outcome</t>
  </si>
  <si>
    <t>Global pass</t>
  </si>
  <si>
    <t>One recalculation after all 51 rows were consolidated.</t>
  </si>
  <si>
    <t>No batch-level ranking remains.</t>
  </si>
  <si>
    <t>51 roster rows</t>
  </si>
  <si>
    <t>Completed in one pass.</t>
  </si>
  <si>
    <t>Capability eligibility</t>
  </si>
  <si>
    <t>Verified public access + coding benchmark + agent/tool/repository/terminal benchmark.</t>
  </si>
  <si>
    <t>Insufficient-evidence rows retain factors but global score/rank is blank.</t>
  </si>
  <si>
    <t>34 eligible / 17 excluded</t>
  </si>
  <si>
    <t>Yes, after evidence gate</t>
  </si>
  <si>
    <t>No zero-filled missing evidence.</t>
  </si>
  <si>
    <t>Balanced / Value eligibility</t>
  </si>
  <si>
    <t>Capability eligible + comparable hosted/subscription cost basis.</t>
  </si>
  <si>
    <t>NVIDIA self-host/trial and Hy3 no-tariff rows remain Capability-only.</t>
  </si>
  <si>
    <t>30 eligible / 21 blank</t>
  </si>
  <si>
    <t>Partly</t>
  </si>
  <si>
    <t>Self-host hardware cost not mixed with API token prices.</t>
  </si>
  <si>
    <t>Capability formula</t>
  </si>
  <si>
    <t>35% coding + 20% agent/tool + 20% repository + 15% long context + 5% multimodality + 5% reliability.</t>
  </si>
  <si>
    <t>Formula-driven in Master Models BC.</t>
  </si>
  <si>
    <t>Weights sum to 100%</t>
  </si>
  <si>
    <t>Matches Session 1 lock.</t>
  </si>
  <si>
    <t>Balanced formula</t>
  </si>
  <si>
    <t>25% coding + 15% agent/tool + 15% repository + 10% long context + 10% speed + 15% usage + 5% multimodality + 5% reliability.</t>
  </si>
  <si>
    <t>Formula-driven in Master Models BE.</t>
  </si>
  <si>
    <t>Value formula</t>
  </si>
  <si>
    <t>55% Capability + 25% usage efficiency + 15% speed + 5% reliability.</t>
  </si>
  <si>
    <t>Formula-driven in Master Models BG.</t>
  </si>
  <si>
    <t>Benchmark normalization</t>
  </si>
  <si>
    <t>Min-max only inside exact Comparable Group; lower-is-better inverted.</t>
  </si>
  <si>
    <t>276 evidence rows reviewed; singletons and source-specific headlines remain blank.</t>
  </si>
  <si>
    <t>113 exact groups</t>
  </si>
  <si>
    <t>Only exact groups</t>
  </si>
  <si>
    <t>No cross-version/harness mixing.</t>
  </si>
  <si>
    <t>Tie handling</t>
  </si>
  <si>
    <t>Competition ranking using RANK.EQ.</t>
  </si>
  <si>
    <t>Ties share rank and subsequent positions skip.</t>
  </si>
  <si>
    <t>All global rank columns</t>
  </si>
  <si>
    <t>Formula audit complete.</t>
  </si>
  <si>
    <t>CNY conversion</t>
  </si>
  <si>
    <t>Step 3.7 Flash native CNY tariff normalized to USD.</t>
  </si>
  <si>
    <t>Input $0.1986/M; cached $0.0397/M; output $1.1914/M.</t>
  </si>
  <si>
    <t>USD/CNY 6.7989 on 2026-07-10</t>
  </si>
  <si>
    <t>Yes for hosted API cost</t>
  </si>
  <si>
    <t>Latest business-day CFETS parity used because 2026-07-12 is Sunday.</t>
  </si>
  <si>
    <t>Deprecated models remain documented but are not router defaults.</t>
  </si>
  <si>
    <t>Devstral 2 stays visible until retirement date.</t>
  </si>
  <si>
    <t>Retires 2026-07-31</t>
  </si>
  <si>
    <t>Preview/beta lifecycle remains explicit.</t>
  </si>
  <si>
    <t>Session 6 Source Category</t>
  </si>
  <si>
    <t>Roster / limits</t>
  </si>
  <si>
    <t>OpenAI Codex</t>
  </si>
  <si>
    <t>Official</t>
  </si>
  <si>
    <t>Current Plus limits and Codex credit basis</t>
  </si>
  <si>
    <t>Verified 2026-07-12.</t>
  </si>
  <si>
    <t>API pricing</t>
  </si>
  <si>
    <t>https://developers.openai.com/api/docs/pricing</t>
  </si>
  <si>
    <t>Short/long-context token prices</t>
  </si>
  <si>
    <t>Subscription / limits</t>
  </si>
  <si>
    <t>$5 intro, $10 steady, allowance and request estimates</t>
  </si>
  <si>
    <t>Pricing / rate limits</t>
  </si>
  <si>
    <t>Claude token pricing and introductory Sonnet pricing</t>
  </si>
  <si>
    <t>Token/tool pricing and spend-tier limits</t>
  </si>
  <si>
    <t>Free/paid model pricing, caching and long-context tiers</t>
  </si>
  <si>
    <t>Mistral models</t>
  </si>
  <si>
    <t>Current model-card token prices</t>
  </si>
  <si>
    <t>FX normalization</t>
  </si>
  <si>
    <t>CNY / USD</t>
  </si>
  <si>
    <t>https://www.chinamoney.com.cn/english/bmkcpr/index.html?tab=2</t>
  </si>
  <si>
    <t>Official CFETS benchmark</t>
  </si>
  <si>
    <t>StepFun CNY tariff conversion</t>
  </si>
  <si>
    <t>Latest business day 2026-07-10: USD/CNY 6.7989.</t>
  </si>
  <si>
    <t>Model Router &amp; Global Rankings — Session 6 Final</t>
  </si>
  <si>
    <t>Recommendations use the final one-pass global recalculation. Global scores exclude insufficient-evidence rows; deprecated Devstral 2 remains visible in the master but is not selected as a router default.</t>
  </si>
  <si>
    <t>Metric</t>
  </si>
  <si>
    <t>Rank / Count</t>
  </si>
  <si>
    <t>Capability</t>
  </si>
  <si>
    <t>Balanced</t>
  </si>
  <si>
    <t>Value</t>
  </si>
  <si>
    <t>Roster models</t>
  </si>
  <si>
    <t>—</t>
  </si>
  <si>
    <t>51</t>
  </si>
  <si>
    <t>Capability eligible</t>
  </si>
  <si>
    <t>34</t>
  </si>
  <si>
    <t>Balanced / Value eligible</t>
  </si>
  <si>
    <t>30</t>
  </si>
  <si>
    <t>Top Capability</t>
  </si>
  <si>
    <t>Top Balanced</t>
  </si>
  <si>
    <t>Top Value</t>
  </si>
  <si>
    <t>Task</t>
  </si>
  <si>
    <t>Primary</t>
  </si>
  <si>
    <t>Alternative</t>
  </si>
  <si>
    <t>Budget / Efficient</t>
  </si>
  <si>
    <t>Escalation Chain</t>
  </si>
  <si>
    <t>Ranking Basis</t>
  </si>
  <si>
    <t>General Development</t>
  </si>
  <si>
    <t>Gemini 3 Flash Preview → Step 3.7 Flash → Gemini 3.5 Flash</t>
  </si>
  <si>
    <t>Hardest Architecture</t>
  </si>
  <si>
    <t>Qwen3.7 Plus → GPT-5.6 Sol → Claude Fable 5</t>
  </si>
  <si>
    <t>Architecture specialist score</t>
  </si>
  <si>
    <t>Code Review &amp; Debugging</t>
  </si>
  <si>
    <t>Review/Debug specialist score</t>
  </si>
  <si>
    <t>Terminal &amp; DevOps</t>
  </si>
  <si>
    <t>Qwen3.7 Plus → GPT-5.6 Terra → Gemini 3.5 Flash</t>
  </si>
  <si>
    <t>Terminal/DevOps specialist score</t>
  </si>
  <si>
    <t>Frontend / Multimodal UI</t>
  </si>
  <si>
    <t>Gemini 3 Flash Preview → Grok 4.5 → Gemini 3.5 Flash</t>
  </si>
  <si>
    <t>UI/Frontend specialist score</t>
  </si>
  <si>
    <t>Long-Context Repository Work</t>
  </si>
  <si>
    <t>Long-context specialist score</t>
  </si>
  <si>
    <t>Bulk / Mechanical Edits</t>
  </si>
  <si>
    <t>Gemini 3 Flash Preview → DeepSeek V4 Flash → MiMo-V2.5</t>
  </si>
  <si>
    <t>Bulk-worker specialist score</t>
  </si>
  <si>
    <t>Agent Orchestration</t>
  </si>
  <si>
    <t>Agent/Tool factor</t>
  </si>
  <si>
    <t>Best Overall Value</t>
  </si>
  <si>
    <t>MiMo-V2.5 → Step 3.7 Flash → Gemini 3.5 Flash</t>
  </si>
  <si>
    <t>Open-Weight / Self-Host</t>
  </si>
  <si>
    <t>Qwen3.7 Plus → Step 3.7 Flash → Mistral Medium 3.5</t>
  </si>
  <si>
    <t>Capability Score; deployment cost excluded</t>
  </si>
  <si>
    <t>Specialist</t>
  </si>
  <si>
    <t>Rank 1</t>
  </si>
  <si>
    <t>Rank 2</t>
  </si>
  <si>
    <t>Long Context</t>
  </si>
  <si>
    <t>Terminal/DevOps</t>
  </si>
  <si>
    <t>UI/Frontend</t>
  </si>
  <si>
    <t>Architecture</t>
  </si>
  <si>
    <t>Review/Debug</t>
  </si>
  <si>
    <t>Bulk Worker</t>
  </si>
  <si>
    <t>Model Expansion — Session 6: Final Global Ranking Complete</t>
  </si>
  <si>
    <t>All 51 models are consolidated and validated. Session 6 restored the authoritative Session 2 baseline, normalized only exact comparable benchmark groups, recalculated final composites once, rebuilt specialist rankings and router recommendations, and separated evidence eligibility from cost eligibility.</t>
  </si>
  <si>
    <t>Locked Decision</t>
  </si>
  <si>
    <t>Original workbook models</t>
  </si>
  <si>
    <t>Retain</t>
  </si>
  <si>
    <t>No original row removed.</t>
  </si>
  <si>
    <t>Session 2 additions</t>
  </si>
  <si>
    <t>Complete</t>
  </si>
  <si>
    <t>Anthropic + xAI.</t>
  </si>
  <si>
    <t>Session 3 additions</t>
  </si>
  <si>
    <t>Google Gemini + Gemma 4 31B.</t>
  </si>
  <si>
    <t>Session 4 additions</t>
  </si>
  <si>
    <t>Mistral general/specialist + NVIDIA Nemotron.</t>
  </si>
  <si>
    <t>Session 5 additions</t>
  </si>
  <si>
    <t>Three restored Ministral sizes + Hy3 + Step 3.7 Flash.</t>
  </si>
  <si>
    <t>Planned additions completed</t>
  </si>
  <si>
    <t>32 of 32</t>
  </si>
  <si>
    <t>Locked Session 1 expansion is complete.</t>
  </si>
  <si>
    <t>Total populated model roster</t>
  </si>
  <si>
    <t>19 original + 32 additions.</t>
  </si>
  <si>
    <t>Session 6 global pass</t>
  </si>
  <si>
    <t>One pass</t>
  </si>
  <si>
    <t>No batch-independent ranking.</t>
  </si>
  <si>
    <t>Capability-ranked models</t>
  </si>
  <si>
    <t>Evidence rule applied</t>
  </si>
  <si>
    <t>17 insufficient-evidence rows retain blank global composites.</t>
  </si>
  <si>
    <t>Balanced / Value-ranked models</t>
  </si>
  <si>
    <t>Cost rule applied</t>
  </si>
  <si>
    <t>No API/self-host cost mixing.</t>
  </si>
  <si>
    <t>Model Router</t>
  </si>
  <si>
    <t>Rebuilt</t>
  </si>
  <si>
    <t>Final</t>
  </si>
  <si>
    <t>Deprecated models excluded from defaults.</t>
  </si>
  <si>
    <t>Canonical Model ID</t>
  </si>
  <si>
    <t>Ranking Class</t>
  </si>
  <si>
    <t>Progress</t>
  </si>
  <si>
    <t>Final workbook</t>
  </si>
  <si>
    <t>XLSX</t>
  </si>
  <si>
    <t>Session 6</t>
  </si>
  <si>
    <t>See Session 6 Handoff for QC details.</t>
  </si>
  <si>
    <t>claude-fable-5</t>
  </si>
  <si>
    <t>Global</t>
  </si>
  <si>
    <t>Complete — Session 2</t>
  </si>
  <si>
    <t>https://platform.claude.com/docs/en/about-claude/models/overview</t>
  </si>
  <si>
    <t>claude-opus-4-8</t>
  </si>
  <si>
    <t>claude-sonnet-5</t>
  </si>
  <si>
    <t>claude-haiku-4-5-20251001</t>
  </si>
  <si>
    <t>Pinned canonical ID.</t>
  </si>
  <si>
    <t>grok-4.3</t>
  </si>
  <si>
    <t>https://docs.x.ai/developers/models/grok-4.3</t>
  </si>
  <si>
    <t>grok-4.20-0309-reasoning</t>
  </si>
  <si>
    <t>https://docs.x.ai/developers/models/grok-4.20-0309-reasoning</t>
  </si>
  <si>
    <t>Distinct endpoint.</t>
  </si>
  <si>
    <t>grok-4.20-0309-non-reasoning</t>
  </si>
  <si>
    <t>https://docs.x.ai/developers/models/grok-4.20-0309-non-reasoning</t>
  </si>
  <si>
    <t>grok-4.20-multi-agent-0309</t>
  </si>
  <si>
    <t>Global + orchestration</t>
  </si>
  <si>
    <t>https://docs.x.ai/developers/models/grok-4.20-multi-agent-0309</t>
  </si>
  <si>
    <t>grok-build-0.1</t>
  </si>
  <si>
    <t>Global + coding specialist</t>
  </si>
  <si>
    <t>https://docs.x.ai/developers/models/grok-build-0.1</t>
  </si>
  <si>
    <t>Complete — Session 3</t>
  </si>
  <si>
    <t>Stable / previous gen</t>
  </si>
  <si>
    <t>mistral-medium-3-5</t>
  </si>
  <si>
    <t>Global + coding</t>
  </si>
  <si>
    <t>Complete — Session 4</t>
  </si>
  <si>
    <t>mistral-small-2603</t>
  </si>
  <si>
    <t>mistral-large-2512</t>
  </si>
  <si>
    <t>Mistral FIM API</t>
  </si>
  <si>
    <t>codestral-2508</t>
  </si>
  <si>
    <t>Coding specialist</t>
  </si>
  <si>
    <t>devstral-2512</t>
  </si>
  <si>
    <t>Deprecated; retires 2026-07-31</t>
  </si>
  <si>
    <t>Coding specialist / retiring</t>
  </si>
  <si>
    <t>Still callable on verification date.</t>
  </si>
  <si>
    <t>ministral-14b-2512</t>
  </si>
  <si>
    <t>Global / compact</t>
  </si>
  <si>
    <t>Complete — Session 5</t>
  </si>
  <si>
    <t>Restored from locked Session 1 roster.</t>
  </si>
  <si>
    <t>ministral-8b-2512</t>
  </si>
  <si>
    <t>ministral-3b-2512</t>
  </si>
  <si>
    <t>Global / edge</t>
  </si>
  <si>
    <t>NVIDIA hosted trial / NIM / open weights</t>
  </si>
  <si>
    <t>Global + efficient</t>
  </si>
  <si>
    <t>Global + multimodal</t>
  </si>
  <si>
    <t>tencent/Hy3</t>
  </si>
  <si>
    <t>Full release supersedes preview.</t>
  </si>
  <si>
    <t>Reasoning levels are settings.</t>
  </si>
  <si>
    <t>Resolved / Excluded Item</t>
  </si>
  <si>
    <t>Reason</t>
  </si>
  <si>
    <t>Ministral 3 14B / 8B / 3B</t>
  </si>
  <si>
    <t>Restored and added</t>
  </si>
  <si>
    <t>They were explicitly included in the Session 1 locked roster; Session 4's exclusion is superseded.</t>
  </si>
  <si>
    <t>Hy3-preview</t>
  </si>
  <si>
    <t>Excluded as separate row</t>
  </si>
  <si>
    <t>Full Hy3 supersedes the preview; preview benchmark comparisons remain evidence only.</t>
  </si>
  <si>
    <t>Step reasoning levels</t>
  </si>
  <si>
    <t>Excluded as separate rows</t>
  </si>
  <si>
    <t>Low, medium, and high are selectable settings, not distinct public base models.</t>
  </si>
  <si>
    <t>Step Advisor configuration</t>
  </si>
  <si>
    <t>Advisor is a system configuration measured in the launch report, not a separate model endpoint.</t>
  </si>
  <si>
    <t>Quantized / serving builds</t>
  </si>
  <si>
    <t>FP8, GGUF, precision, and deployment formats do not create distinct capability rows.</t>
  </si>
  <si>
    <t>NVIDIA-hosted third-party copies</t>
  </si>
  <si>
    <t>Excluded under NVIDIA developer</t>
  </si>
  <si>
    <t>Hosting platform remains separate from model developer.</t>
  </si>
  <si>
    <t>Pre-Google Baseline Reference</t>
  </si>
  <si>
    <t>Detailed specifications, formulas, rankings, and router outputs for these 29 rows remain authoritative in AI_Coding_Models_Master_2026-07-10_Session2_Anthropic_xAI.xlsx. This sheet preserves the model roster and handoff identity only.</t>
  </si>
  <si>
    <t>Authoritative Source</t>
  </si>
  <si>
    <t>gpt-5.5</t>
  </si>
  <si>
    <t>gpt-5.4</t>
  </si>
  <si>
    <t>gpt-5.4-mini</t>
  </si>
  <si>
    <t>Session 3 Handoff — Google</t>
  </si>
  <si>
    <t>Compact research handoff for the next batch. No global reranking has been performed.</t>
  </si>
  <si>
    <t>Result</t>
  </si>
  <si>
    <t>Models added</t>
  </si>
  <si>
    <t>Raw benchmark evidence rows</t>
  </si>
  <si>
    <t>Provider pricing rows</t>
  </si>
  <si>
    <t>Ranking state</t>
  </si>
  <si>
    <t>Frozen</t>
  </si>
  <si>
    <t>Next batch</t>
  </si>
  <si>
    <t>Session 4 — Mistral + NVIDIA</t>
  </si>
  <si>
    <t>Handoff Category</t>
  </si>
  <si>
    <t>Item</t>
  </si>
  <si>
    <t>Decision / Finding</t>
  </si>
  <si>
    <t>Missing or Estimated</t>
  </si>
  <si>
    <t>Conflict / Caveat</t>
  </si>
  <si>
    <t>Primary Sources</t>
  </si>
  <si>
    <t>Gemini family</t>
  </si>
  <si>
    <t>Gemini 3.1 Pro Preview; Gemini 3.5 Flash; Gemini 3 Flash Preview; Gemini 3.1 Flash-Lite; Gemini 2.5 Pro; Gemini 2.5 Flash; Gemini 2.5 Flash-Lite</t>
  </si>
  <si>
    <t>Exact TPS missing for most endpoints</t>
  </si>
  <si>
    <t>Stable/preview endpoint scores are not merged</t>
  </si>
  <si>
    <t>https://ai.google.dev/gemini-api/docs/models | https://ai.google.dev/gemini-api/docs/pricing</t>
  </si>
  <si>
    <t>Added as gemma-4-31b-it; dense 30.7B model; 256K context; hosted through Gemini API and available as open weights</t>
  </si>
  <si>
    <t>Max output limit not clearly stated; paid API price unavailable</t>
  </si>
  <si>
    <t>Free hosted tier is not equivalent to zero self-hosting cost</t>
  </si>
  <si>
    <t>https://ai.google.dev/gemma/docs/core/model_card_4 | https://ai.google.dev/gemma/docs/core/gemma_on_gemini_api</t>
  </si>
  <si>
    <t>Excluded</t>
  </si>
  <si>
    <t>Gemini 3.1 Flash-Lite Preview</t>
  </si>
  <si>
    <t>Excluded because it shut down May 25, 2026; stable endpoint retained</t>
  </si>
  <si>
    <t>None</t>
  </si>
  <si>
    <t>Historical benchmark references may still use preview name</t>
  </si>
  <si>
    <t>Gemini 3 Pro Preview</t>
  </si>
  <si>
    <t>Excluded because it is shut down and replaced by Gemini 3.1 Pro Preview</t>
  </si>
  <si>
    <t>Do not confuse with Gemini 3.1 Pro Preview</t>
  </si>
  <si>
    <t>Custom-tools and media-only variants</t>
  </si>
  <si>
    <t>No separate row for custom-tools; Live/TTS/image/video generation/embedding/managed-agent models are outside scope</t>
  </si>
  <si>
    <t>Endpoint options and modality-specialist services are not comparable base coding models</t>
  </si>
  <si>
    <t>Missing fields</t>
  </si>
  <si>
    <t>Speed / usage limits</t>
  </si>
  <si>
    <t>Exact endpoint TPS omitted unless a published exact model comparison exists; no subscription request caps inferred for usage-based APIs</t>
  </si>
  <si>
    <t>Qualitative speed classes are provisional</t>
  </si>
  <si>
    <t>Serving setup may change throughput materially</t>
  </si>
  <si>
    <t>Benchmark conflict</t>
  </si>
  <si>
    <t>Gemini 2.5 Flash SWE-Bench Verified</t>
  </si>
  <si>
    <t>Stored 48.9 as an indirect stable baseline cited by Google's preview improvement statement</t>
  </si>
  <si>
    <t>Exact stable harness not restated</t>
  </si>
  <si>
    <t>Do not normalize against direct custom-agent scores until final reconciliation</t>
  </si>
  <si>
    <t>Gemini 2.5 Pro SWE-Bench Verified</t>
  </si>
  <si>
    <t>Stored 63.8 with Google custom-agent label</t>
  </si>
  <si>
    <t>No scaffold-neutral result substituted</t>
  </si>
  <si>
    <t>Custom agents differ across vendors</t>
  </si>
  <si>
    <t>128K and 1M MRCR values retained separately; 128K used only as provisional headline field</t>
  </si>
  <si>
    <t>Not all models publish both lengths</t>
  </si>
  <si>
    <t>Context capacity alone is not retrieval quality</t>
  </si>
  <si>
    <t>Sources used</t>
  </si>
  <si>
    <t>Official Google sources</t>
  </si>
  <si>
    <t>Gemini API model pages, pricing, changelog, DeepMind performance tables, Gemma 4 model card, and Gemma API guide</t>
  </si>
  <si>
    <t>Pricing and preview lifecycle require recheck before Session 6</t>
  </si>
  <si>
    <t>https://ai.google.dev/gemini-api/docs/models | https://ai.google.dev/gemma/docs/core/model_card_4</t>
  </si>
  <si>
    <t>Workbook version</t>
  </si>
  <si>
    <t>AI_Coding_Models_Master_2026-07-12_Session3_Google.xlsx</t>
  </si>
  <si>
    <t>Session 3 research workbook produced on 2026-07-12</t>
  </si>
  <si>
    <t>Pre-Google detailed rows remain in authoritative Session 2 file</t>
  </si>
  <si>
    <t>This runtime did not expose the original Session 2 binary for direct in-place editing</t>
  </si>
  <si>
    <t>Mistral &amp; NVIDIA Nemotron — Session 4 Data</t>
  </si>
  <si>
    <t>Developer and host are recorded separately. A model appearing on build.nvidia.com is not attributed to NVIDIA unless NVIDIA is the model developer. API prices are comparable only for Mistral-hosted endpoints; NVIDIA rows use access-path notes rather than a fabricated zero price.</t>
  </si>
  <si>
    <t>Developer</t>
  </si>
  <si>
    <t>Host / Access Path</t>
  </si>
  <si>
    <t>Total Params</t>
  </si>
  <si>
    <t>Active Params</t>
  </si>
  <si>
    <t>Modalities</t>
  </si>
  <si>
    <t>Agent / Tool Support</t>
  </si>
  <si>
    <t>Cached $/M</t>
  </si>
  <si>
    <t>Long-Context Evidence</t>
  </si>
  <si>
    <t>Current; Vibe public preview</t>
  </si>
  <si>
    <t>Dense</t>
  </si>
  <si>
    <t>128B</t>
  </si>
  <si>
    <t>Configurable reasoning_effort</t>
  </si>
  <si>
    <t>Functions, agents, built-in tools, structured outputs, FIM</t>
  </si>
  <si>
    <t>SWE-Bench Verified 77.6; Tau³-Telecom 91.4</t>
  </si>
  <si>
    <t>Official replacement for Devstral 2.</t>
  </si>
  <si>
    <t>MoE</t>
  </si>
  <si>
    <t>119B</t>
  </si>
  <si>
    <t>6.5B</t>
  </si>
  <si>
    <t>Unified instruct/reasoning/coding</t>
  </si>
  <si>
    <t>Functions, agents, built-in tools, FIM</t>
  </si>
  <si>
    <t>Qualitative LiveCodeBench superiority; exact score unavailable</t>
  </si>
  <si>
    <t>Official card reports 119B total / 6.5B active.</t>
  </si>
  <si>
    <t>Granular MoE</t>
  </si>
  <si>
    <t>675B</t>
  </si>
  <si>
    <t>41B</t>
  </si>
  <si>
    <t>General reasoning</t>
  </si>
  <si>
    <t>Official coding/agentic capability claim; exact score unavailable</t>
  </si>
  <si>
    <t>Large multilingual generalist.</t>
  </si>
  <si>
    <t>Text/code</t>
  </si>
  <si>
    <t>Completion-focused</t>
  </si>
  <si>
    <t>FIM endpoint</t>
  </si>
  <si>
    <t>+30% accepted completions; +10% retained code; -50% runaway generations</t>
  </si>
  <si>
    <t>Relative operational metrics only.</t>
  </si>
  <si>
    <t>123B</t>
  </si>
  <si>
    <t>Agentic coding reasoning</t>
  </si>
  <si>
    <t>SWE-Bench Verified 72.2</t>
  </si>
  <si>
    <t>Included because it remains callable on 2026-07-12; do not use as a new default.</t>
  </si>
  <si>
    <t>Hybrid Mamba-2/Transformer LatentMoE + MTP</t>
  </si>
  <si>
    <t>550B</t>
  </si>
  <si>
    <t>55B</t>
  </si>
  <si>
    <t>Reasoning on/off</t>
  </si>
  <si>
    <t>Tool-using long-horizon agents</t>
  </si>
  <si>
    <t>SWE-Bench Verified 71.9 BF16; Terminal-Bench 2.1 56.4</t>
  </si>
  <si>
    <t>RULER 1M 94.7</t>
  </si>
  <si>
    <t>BF16 canonical; NVFP4 retained as variant evidence.</t>
  </si>
  <si>
    <t>120B</t>
  </si>
  <si>
    <t>12B</t>
  </si>
  <si>
    <t>Reasoning modes</t>
  </si>
  <si>
    <t>Enterprise agents and tools</t>
  </si>
  <si>
    <t>LiveCodeBench v5 81.19; SWE-Bench OpenHands 60.47</t>
  </si>
  <si>
    <t>RULER 1M 91.75</t>
  </si>
  <si>
    <t>SWE-Bench varies by scaffold.</t>
  </si>
  <si>
    <t>Hybrid Mamba-2/Transformer MoE</t>
  </si>
  <si>
    <t>30B</t>
  </si>
  <si>
    <t>3B</t>
  </si>
  <si>
    <t>Function/tool calling</t>
  </si>
  <si>
    <t>LiveCodeBench v6 68.3; SWE-Bench OpenHands 38.8</t>
  </si>
  <si>
    <t>RULER 1M 86.3</t>
  </si>
  <si>
    <t>Default serving configuration may use 256K.</t>
  </si>
  <si>
    <t>Multimodal hybrid Mamba-2/Transformer MoE</t>
  </si>
  <si>
    <t>31B</t>
  </si>
  <si>
    <t>Text, image, video, audio</t>
  </si>
  <si>
    <t>Reasoning model</t>
  </si>
  <si>
    <t>Tool calling and JSON</t>
  </si>
  <si>
    <t>No direct coding benchmark</t>
  </si>
  <si>
    <t>MMLongBench-Doc 57.5</t>
  </si>
  <si>
    <t>English-only model-card scope; coding factor is estimated.</t>
  </si>
  <si>
    <t>Session 4 Handoff — Mistral &amp; NVIDIA Nemotron</t>
  </si>
  <si>
    <t>Nine models added; 41 Session 4 evidence rows recorded; no global reranking performed.</t>
  </si>
  <si>
    <t>Mistral models added</t>
  </si>
  <si>
    <t>NVIDIA-developed Nemotron models added</t>
  </si>
  <si>
    <t>Session 4 benchmark evidence rows</t>
  </si>
  <si>
    <t>Session 5 — Emerging open models</t>
  </si>
  <si>
    <t>Mistral Medium 3.5; Mistral Small 4; Mistral Large 3; Codestral 25.08; Devstral 2</t>
  </si>
  <si>
    <t>Small 4 and Large 3 lack exact accessible official coding scores</t>
  </si>
  <si>
    <t>Devstral 2 retires July 31, 2026</t>
  </si>
  <si>
    <t>NVIDIA-developed Nemotron</t>
  </si>
  <si>
    <t>Nemotron 3 Ultra; Super; Nano; Nano Omni</t>
  </si>
  <si>
    <t>No comparable production token tariffs</t>
  </si>
  <si>
    <t>Hosted trial availability is not equivalent to free production inference</t>
  </si>
  <si>
    <t>Roster expansion</t>
  </si>
  <si>
    <t>Added beyond the initial queue because it is Mistral's active coding specialist and materially distinct from generalist models</t>
  </si>
  <si>
    <t>Only relative production metrics available</t>
  </si>
  <si>
    <t>Do not normalize +30% acceptance as an absolute benchmark</t>
  </si>
  <si>
    <t>https://docs.mistral.ai/models/model-cards/codestral-25-08 | https://mistral.ai/news/codestral-25-08/</t>
  </si>
  <si>
    <t>Added beyond the initial queue because it was released June 4, 2026 and is the active top Nemotron 3 tier</t>
  </si>
  <si>
    <t>Infrastructure cost varies</t>
  </si>
  <si>
    <t>BF16 and NVFP4 results remain separate evidence entries</t>
  </si>
  <si>
    <t>NVIDIA-hosted third-party models</t>
  </si>
  <si>
    <t>Not attributed to NVIDIA; hosting and development are separate dimensions</t>
  </si>
  <si>
    <t>Provider summaries must use actual model developer</t>
  </si>
  <si>
    <t>Quantized variants</t>
  </si>
  <si>
    <t>NVFP4 and other precision variants are not separate model rows</t>
  </si>
  <si>
    <t>Quantization can materially alter benchmark results; retain exact precision in evidence</t>
  </si>
  <si>
    <t>Ministral 3 / Leanstral 1.5</t>
  </si>
  <si>
    <t>Not part of locked general coding roster; Leanstral is narrow theorem proving</t>
  </si>
  <si>
    <t>Could be added only by explicit later approval</t>
  </si>
  <si>
    <t>Active does not automatically imply inclusion</t>
  </si>
  <si>
    <t>Included because it remains callable on July 12, 2026; official replacement is Medium 3.5</t>
  </si>
  <si>
    <t>Provider may alter availability before retirement</t>
  </si>
  <si>
    <t>Do not recommend for new production use</t>
  </si>
  <si>
    <t>NVIDIA prices and exact TPS</t>
  </si>
  <si>
    <t>Left blank rather than zero or estimated</t>
  </si>
  <si>
    <t>Self-host/NIM/cloud costs depend on hardware and serving configuration</t>
  </si>
  <si>
    <t>Cannot calculate fair Value rank yet</t>
  </si>
  <si>
    <t>SWE-Bench scaffolds</t>
  </si>
  <si>
    <t>Super and Nano OpenHands/OpenCode/Codex results stored separately; Ultra precision variants stored separately</t>
  </si>
  <si>
    <t>Cross-provider scaffold-neutral score unavailable</t>
  </si>
  <si>
    <t>Final normalization must group exact scaffold/precision settings</t>
  </si>
  <si>
    <t>https://build.nvidia.com/nvidia/nemotron-3-super-120b-a12b/modelcard | https://build.nvidia.com/nvidia/nemotron-3-nano-30b-a3b/modelcard</t>
  </si>
  <si>
    <t>Mistral qualitative and relative evidence</t>
  </si>
  <si>
    <t>Small 4, Large 3, and Codestral have incomplete absolute coding evidence in accessible official pages</t>
  </si>
  <si>
    <t>Provisional factor scores are estimates</t>
  </si>
  <si>
    <t>Missing values remain blank in raw evidence</t>
  </si>
  <si>
    <t>https://mistral.ai/news/mistral-small-4/ | https://mistral.ai/news/codestral-25-08/</t>
  </si>
  <si>
    <t>Primary sources only</t>
  </si>
  <si>
    <t>Mistral model cards and launch reports; NVIDIA research family page and model cards</t>
  </si>
  <si>
    <t>All lifecycle and pricing data requires Session 6 recheck</t>
  </si>
  <si>
    <t>https://docs.mistral.ai/models/overview | https://research.nvidia.com/labs/nemotron/Nemotron-3/</t>
  </si>
  <si>
    <t>AI_Coding_Models_Master_2026-07-12_Session4_Mistral_NVIDIA.xlsx</t>
  </si>
  <si>
    <t>Session 4 research workbook produced on 2026-07-12</t>
  </si>
  <si>
    <t>Global ranks intentionally unchanged</t>
  </si>
  <si>
    <t>Continue from this file in Session 5</t>
  </si>
  <si>
    <t>/mnt/data/AI_Coding_Models_Master_2026-07-12_Session4_Mistral_NVIDIA.xlsx</t>
  </si>
  <si>
    <t>Session 5 Model Data — Emerging Open &amp; Edge Models</t>
  </si>
  <si>
    <t>Five locked-scope models close the target roster. Native pricing currency is preserved rather than converted. For Ministral, the workbook retains one row per size while raw evidence identifies base, instruct, and reasoning variants.</t>
  </si>
  <si>
    <t>Access Path</t>
  </si>
  <si>
    <t>Vision Encoder</t>
  </si>
  <si>
    <t>Reasoning Context</t>
  </si>
  <si>
    <t>Reasoning Modes</t>
  </si>
  <si>
    <t>Input Price /M</t>
  </si>
  <si>
    <t>Cached Input /M</t>
  </si>
  <si>
    <t>Output Price /M</t>
  </si>
  <si>
    <t>Currency</t>
  </si>
  <si>
    <t>Open Weights</t>
  </si>
  <si>
    <t>Dense decoder-only transformer</t>
  </si>
  <si>
    <t>14B</t>
  </si>
  <si>
    <t>410M ViT</t>
  </si>
  <si>
    <t>Text + image</t>
  </si>
  <si>
    <t>Base, instruct, reasoning variants</t>
  </si>
  <si>
    <t>Function calling, agents, built-in tools, structured outputs</t>
  </si>
  <si>
    <t>USD</t>
  </si>
  <si>
    <t>Apache 2.0</t>
  </si>
  <si>
    <t>LiveCodeBench v6 64.6 reasoning; MBPP 71.6 base</t>
  </si>
  <si>
    <t>One roster row per locked size; benchmarks retain variant identity.</t>
  </si>
  <si>
    <t>8B</t>
  </si>
  <si>
    <t>LiveCodeBench v6 61.6 reasoning; MBPP 70.0 base</t>
  </si>
  <si>
    <t>LiveCodeBench v6 54.8 reasoning; MBPP 63.0 base</t>
  </si>
  <si>
    <t>Tied input-output embeddings; edge-focused.</t>
  </si>
  <si>
    <t>MoE + MTP</t>
  </si>
  <si>
    <t>295B</t>
  </si>
  <si>
    <t>21B</t>
  </si>
  <si>
    <t>Hybrid fast/slow; no_think, low, high</t>
  </si>
  <si>
    <t>Tool calling; coding, search, and product agents</t>
  </si>
  <si>
    <t>Not captured</t>
  </si>
  <si>
    <t>SWE-Bench Pro 57.9; Verified 78.0; Terminal-Bench 2.1 71.7; MCP Atlas 79.1</t>
  </si>
  <si>
    <t>Full release supersedes Hy3-preview; 3.8B MTP layer; no comparable official tariff captured.</t>
  </si>
  <si>
    <t>Sparse multimodal MoE</t>
  </si>
  <si>
    <t>198B docs; 196B LM + 1.8B ViT launch table</t>
  </si>
  <si>
    <t>11B</t>
  </si>
  <si>
    <t>1.8B ViT</t>
  </si>
  <si>
    <t>Text + image + video</t>
  </si>
  <si>
    <t>Low, medium, high</t>
  </si>
  <si>
    <t>Tool calls, task decomposition, planning, OpenAI/Anthropic-compatible APIs</t>
  </si>
  <si>
    <t>CNY</t>
  </si>
  <si>
    <t>SWE-Bench Pro 56.3; Verified 76.5; Terminal-Bench 2.1 59.6; Step-SWE average 67.08</t>
  </si>
  <si>
    <t>Architecture display conflict retained; USD normalization deferred.</t>
  </si>
  <si>
    <t>Session 5 Handoff — Target Roster Complete</t>
  </si>
  <si>
    <t>Five models added; 72 raw Session 5 evidence rows recorded; the 51-model roster is complete; no global reranking performed.</t>
  </si>
  <si>
    <t>Restored locked Ministral models</t>
  </si>
  <si>
    <t>Emerging models added</t>
  </si>
  <si>
    <t>Session 5 benchmark evidence rows</t>
  </si>
  <si>
    <t>Planned additions complete</t>
  </si>
  <si>
    <t>32 / 32</t>
  </si>
  <si>
    <t>Session 6 — Global ranking and quality control</t>
  </si>
  <si>
    <t>14B, 8B, and 3B rows restored from the locked Session 1 roster</t>
  </si>
  <si>
    <t>No SWE-Bench, terminal, or repository-agent result published</t>
  </si>
  <si>
    <t>Base/instruct/reasoning benchmark values belong to different variants</t>
  </si>
  <si>
    <t>Full 295B/21B MoE release added with 256K context and tool/reasoning modes</t>
  </si>
  <si>
    <t>No comparable official TokenHub tariff or exact TPS</t>
  </si>
  <si>
    <t>New release; full model supersedes preview</t>
  </si>
  <si>
    <t>https://www.tencent.com/en-us/articles/2202386.html | https://huggingface.co/tencent/Hy3</t>
  </si>
  <si>
    <t>198B/11B multimodal MoE added with 256K context, tools, and selectable reasoning</t>
  </si>
  <si>
    <t>Maximum output limit not published; USD tariff not calculated</t>
  </si>
  <si>
    <t>Docs show 198B; launch table shows 196B LM + 1.8B ViT</t>
  </si>
  <si>
    <t>https://platform.stepfun.com/docs/zh/guides/models/step-3.7-flash | https://static.stepfun.com/blog/step-3.7-flash/</t>
  </si>
  <si>
    <t>Scope correction</t>
  </si>
  <si>
    <t>Session 4 Ministral exclusion</t>
  </si>
  <si>
    <t>Superseded because the three sizes were explicitly approved in Session 1</t>
  </si>
  <si>
    <t>Session 1 methodology lock takes precedence over later batch omission</t>
  </si>
  <si>
    <t>No separate row; full Hy3 is canonical</t>
  </si>
  <si>
    <t>Preview scores remain available for historical comparison</t>
  </si>
  <si>
    <t>Do not duplicate predecessor and full-release capability</t>
  </si>
  <si>
    <t>Reasoning levels / Advisor / quantizations</t>
  </si>
  <si>
    <t>Stored as settings or evidence rather than separate models</t>
  </si>
  <si>
    <t>These settings can change performance and must remain labeled</t>
  </si>
  <si>
    <t>Hosted cost and throughput</t>
  </si>
  <si>
    <t>Hy3 price/TPS blank; Step USD price blank; exact endpoint TPS blank</t>
  </si>
  <si>
    <t>Provisional speed and efficiency factor scores</t>
  </si>
  <si>
    <t>Blank values must not become zero during Session 6</t>
  </si>
  <si>
    <t>https://www.tencent.com/en-us/articles/2202386.html | https://platform.stepfun.com/docs/zh/guides/models/step-3.7-flash</t>
  </si>
  <si>
    <t>Ministral variants</t>
  </si>
  <si>
    <t>Base MBPP/MMMU; instruct Arena/Wild/MM MTBench; reasoning LCB/GPQA/AIME</t>
  </si>
  <si>
    <t>Single roster row per size</t>
  </si>
  <si>
    <t>Session 6 must avoid treating the values as one identical endpoint configuration</t>
  </si>
  <si>
    <t>Step architecture and Terminal score</t>
  </si>
  <si>
    <t>198B docs vs 196B + 1.8B ViT table; Terminal 59.5 chart vs 59.6 detailed table</t>
  </si>
  <si>
    <t>Detailed table value 59.6 retained</t>
  </si>
  <si>
    <t>Keep conflict visible rather than silently averaging</t>
  </si>
  <si>
    <t>Primary and official sources</t>
  </si>
  <si>
    <t>Mistral model cards/report; Tencent release/model card; StepFun docs/launch report</t>
  </si>
  <si>
    <t>All lifecycle and price fields require final Session 6 recheck</t>
  </si>
  <si>
    <t>https://docs.mistral.ai/models/model-cards/ministral-3-14b-25-12 | https://www.tencent.com/en-us/articles/2202386.html | https://platform.stepfun.com/docs/zh/guides/models/step-3.7-flash</t>
  </si>
  <si>
    <t>AI_Coding_Models_Master_2026-07-12_Session5_Complete_Roster.xlsx</t>
  </si>
  <si>
    <t>Session 5 workbook produced on 2026-07-12</t>
  </si>
  <si>
    <t>Global composites and rankings intentionally blank/frozen for added rows</t>
  </si>
  <si>
    <t>Continue directly from this file in Session 6</t>
  </si>
  <si>
    <t>/mnt/data/AI_Coding_Models_Master_2026-07-12_Session5_Complete_Roster.xlsx</t>
  </si>
  <si>
    <t>Session 6 — Benchmark Normalization &amp; Ranking Method</t>
  </si>
  <si>
    <t>Raw evidence is normalized only inside the exact Comparable Group. Single-observation, qualitative, and inherited source-specific Session 2 headline rows remain unnormalized. Composite rankings use the locked expert-normalized factor columns in Master Models.</t>
  </si>
  <si>
    <t>Raw Score</t>
  </si>
  <si>
    <t>Group N</t>
  </si>
  <si>
    <t>Group Min</t>
  </si>
  <si>
    <t>Group Max</t>
  </si>
  <si>
    <t>Normalized 0–100</t>
  </si>
  <si>
    <t>Composite</t>
  </si>
  <si>
    <t>Factor</t>
  </si>
  <si>
    <t>Weight</t>
  </si>
  <si>
    <t>Normalized within exact comparable group</t>
  </si>
  <si>
    <t>Coding Benchmark</t>
  </si>
  <si>
    <t>Agent/Tool</t>
  </si>
  <si>
    <t>Repository Repair</t>
  </si>
  <si>
    <t>Multimodality</t>
  </si>
  <si>
    <t>Provider Reliability</t>
  </si>
  <si>
    <t>Usage Efficiency</t>
  </si>
  <si>
    <t>Single observation group</t>
  </si>
  <si>
    <t>Specialist Ranking</t>
  </si>
  <si>
    <t>Transparent factor formula</t>
  </si>
  <si>
    <t>70% long context + 15% agent/tool + 10% coding + 5% reliability</t>
  </si>
  <si>
    <t>35% agent/tool + 25% repository + 20% coding + 10% speed + 10% reliability</t>
  </si>
  <si>
    <t>30% coding + 25% multimodality + 20% agent/tool + 15% speed + 10% reliability</t>
  </si>
  <si>
    <t>30% coding + 25% repository + 20% long context + 15% agent/tool + 10% reliability</t>
  </si>
  <si>
    <t>30% coding + 30% repository + 20% agent/tool + 10% long context + 10% reliability</t>
  </si>
  <si>
    <t>35% usage efficiency + 25% speed + 20% coding + 10% agent/tool + 10% reliability</t>
  </si>
  <si>
    <t>Eligibility Rule</t>
  </si>
  <si>
    <t>Capability rank</t>
  </si>
  <si>
    <t>Verified public access plus at least one coding benchmark and one agent/tool/repository/terminal benchmark.</t>
  </si>
  <si>
    <t>Balanced / Value</t>
  </si>
  <si>
    <t>Capability eligible plus a documented comparable hosted/subscription cost basis.</t>
  </si>
  <si>
    <t>Missing data</t>
  </si>
  <si>
    <t>Blank, never zero; insufficient evidence leaves global score and rank blank.</t>
  </si>
  <si>
    <t>Ties</t>
  </si>
  <si>
    <t>Competition ranking (RANK.EQ).</t>
  </si>
  <si>
    <t>Preview/beta may rank; deprecated models remain visible but are excluded from router defaults.</t>
  </si>
  <si>
    <t>No numeric score</t>
  </si>
  <si>
    <t>Source-specific / not cross-provider normalized</t>
  </si>
  <si>
    <t>Session 6 Handoff — Global Ranking &amp; Quality Control</t>
  </si>
  <si>
    <t>Final one-pass recalculation completed on the 51-model roster. No new model rows were added; authoritative Session 2 detail was restored, benchmark normalization was audited, router recommendations were rebuilt, and cost eligibility was separated from capability eligibility.</t>
  </si>
  <si>
    <t>Details</t>
  </si>
  <si>
    <t>Models added in Session 6</t>
  </si>
  <si>
    <t>No scope additions; 51 existing roster rows finalized.</t>
  </si>
  <si>
    <t>Authoritative baseline rows restored</t>
  </si>
  <si>
    <t>OpenAI, OpenCode, Anthropic and xAI rows restored from Session 2.</t>
  </si>
  <si>
    <t>Benchmark evidence rows restored</t>
  </si>
  <si>
    <t>Session 2 headline evidence appended with non-comparability notes.</t>
  </si>
  <si>
    <t>Total roster</t>
  </si>
  <si>
    <t>Unique model names and canonical IDs.</t>
  </si>
  <si>
    <t>Capability-ranked</t>
  </si>
  <si>
    <t>17 rows excluded under the locked evidence rule.</t>
  </si>
  <si>
    <t>Balanced / Value-ranked</t>
  </si>
  <si>
    <t>Requires capability eligibility plus comparable hosted/subscription cost.</t>
  </si>
  <si>
    <t>Benchmark evidence rows reviewed</t>
  </si>
  <si>
    <t>Exact-group normalization only.</t>
  </si>
  <si>
    <t>Duplicate model names / IDs</t>
  </si>
  <si>
    <t>0 / 0</t>
  </si>
  <si>
    <t>No duplicates detected.</t>
  </si>
  <si>
    <t>Formula-driven composite cells</t>
  </si>
  <si>
    <t>Capability, Balanced and Value; ranks stored as audited competition-rank values.</t>
  </si>
  <si>
    <t>Formula errors</t>
  </si>
  <si>
    <t>Verified after replacing unsupported RANK.EQ evaluation with audited static ranks.</t>
  </si>
  <si>
    <t>Global Ranking Status</t>
  </si>
  <si>
    <t>Excluded — insufficient evidence</t>
  </si>
  <si>
    <t>Insufficient global evidence: relative product-quality metrics only; no absolute benchmark pair.</t>
  </si>
  <si>
    <t>Insufficient global evidence: one coding benchmark only; also deprecated and retiring 2026-07-31.</t>
  </si>
  <si>
    <t>Insufficient global evidence: coding benchmark exists, but no secondary engineering benchmark.</t>
  </si>
  <si>
    <t>Insufficient global evidence: orchestration endpoint lacks a direct coding benchmark.</t>
  </si>
  <si>
    <t>Insufficient global evidence: no published comparable coding + secondary engineering benchmark pair.</t>
  </si>
  <si>
    <t>Insufficient global evidence: coding beta lacks a published comparable coding + secondary benchmark pair.</t>
  </si>
  <si>
    <t>Insufficient global evidence: qualitative coding/agent claims only.</t>
  </si>
  <si>
    <t>Insufficient global evidence: official coding comparison is qualitative; no exact numeric coding + secondary pair.</t>
  </si>
  <si>
    <t>Missing / Estimated Field</t>
  </si>
  <si>
    <t>Affected Models</t>
  </si>
  <si>
    <t>Treatment</t>
  </si>
  <si>
    <t>Comparable production token price</t>
  </si>
  <si>
    <t>Hy3; four NVIDIA Nemotron rows</t>
  </si>
  <si>
    <t>Missing remains blank, never zero. Hy3 and evidence-eligible Nemotron models are Capability-only.</t>
  </si>
  <si>
    <t>Exact numeric coding benchmark</t>
  </si>
  <si>
    <t>Mistral Small 4; Mistral Large 3</t>
  </si>
  <si>
    <t>Qualitative official claims retained; global composites left blank.</t>
  </si>
  <si>
    <t>Secondary engineering benchmark</t>
  </si>
  <si>
    <t>Gemini 3.1 Flash-Lite; Gemini 2.5 family; Ministral 3 family; Devstral 2</t>
  </si>
  <si>
    <t>Specialist factors remain available, but global composites are blank.</t>
  </si>
  <si>
    <t>Direct coding benchmark</t>
  </si>
  <si>
    <t>Nemotron Nano Omni; several xAI endpoints</t>
  </si>
  <si>
    <t>No inferred raw score; global composites blank.</t>
  </si>
  <si>
    <t>Exact endpoint TPS</t>
  </si>
  <si>
    <t>Many providers</t>
  </si>
  <si>
    <t>Qualitative speed factor retained; no fabricated TPS.</t>
  </si>
  <si>
    <t>StepFun USD prices</t>
  </si>
  <si>
    <t>Converted from official CNY tariff at USD/CNY 6.7989 on 2026-07-10.</t>
  </si>
  <si>
    <t>Unresolved Benchmark / Source Conflict</t>
  </si>
  <si>
    <t>Step 3.7 Flash architecture disclosure: 198B total in docs versus 196B LM + 1.8B ViT in launch table.</t>
  </si>
  <si>
    <t>Both descriptions remain visible; no parameter-derived scoring adjustment.</t>
  </si>
  <si>
    <t>Vendor SWE-Bench and terminal results use different agents/scaffolds.</t>
  </si>
  <si>
    <t>Raw settings are retained; only exact Comparable Groups are normalized.</t>
  </si>
  <si>
    <t>Mistral Small 4 and Large 3 publish qualitative coding comparisons without exact scores.</t>
  </si>
  <si>
    <t>Excluded from global ranking until numeric evidence appears.</t>
  </si>
  <si>
    <t>Grok 4.3 / 4.20 / Build endpoints lack a complete comparable coding + secondary benchmark pair.</t>
  </si>
  <si>
    <t>Factors retained for specialist reference; global scores blank.</t>
  </si>
  <si>
    <t>Devstral 2 is callable but deprecated and retires 2026-07-31.</t>
  </si>
  <si>
    <t>Visible in the roster; excluded from router defaults and global score due incomplete evidence.</t>
  </si>
  <si>
    <t>Sources Used</t>
  </si>
  <si>
    <t>Purpose</t>
  </si>
  <si>
    <t>Session 2 authoritative workbook</t>
  </si>
  <si>
    <t>Restored 29 baseline model rows and their factor inputs.</t>
  </si>
  <si>
    <t>Official OpenAI Codex/API documentation</t>
  </si>
  <si>
    <t>Current roster, Plus limits and token pricing.</t>
  </si>
  <si>
    <t>OpenCode Go documentation</t>
  </si>
  <si>
    <t>Current 13-model roster, subscription price and allowance estimates.</t>
  </si>
  <si>
    <t>Official Anthropic, xAI, Google, Mistral, NVIDIA, Tencent and StepFun sources</t>
  </si>
  <si>
    <t>Lifecycle, specifications, pricing and benchmark evidence.</t>
  </si>
  <si>
    <t>CFETS CNY central parity rate</t>
  </si>
  <si>
    <t>StepFun CNY-to-USD normalization.</t>
  </si>
  <si>
    <t>Final Ranking</t>
  </si>
  <si>
    <t>Rank 3</t>
  </si>
  <si>
    <t>Workbook Version</t>
  </si>
  <si>
    <t>AI_Coding_Models_Master_2026-07-12_Session6_Final_Global_Ranking.xlsx</t>
  </si>
  <si>
    <t>Final XLSX</t>
  </si>
  <si>
    <t>Produced On</t>
  </si>
  <si>
    <t>Europe/Istanbul</t>
  </si>
  <si>
    <t>Remaining Action</t>
  </si>
  <si>
    <t>Recheck only when providers publish new model lifecycle, pricing, or benchmark evidence.</t>
  </si>
  <si>
    <t>No unresolved workbook errors.</t>
  </si>
</sst>
</file>

<file path=xl/styles.xml><?xml version="1.0" encoding="utf-8"?>
<styleSheet xmlns="http://schemas.openxmlformats.org/spreadsheetml/2006/main" xmlns:x14ac="http://schemas.microsoft.com/office/spreadsheetml/2009/9/ac" xmlns:mc="http://schemas.openxmlformats.org/markup-compatibility/2006">
  <numFmts count="6">
    <numFmt numFmtId="164" formatCode="yyyy-mm-dd"/>
    <numFmt numFmtId="165" formatCode="$0.000"/>
    <numFmt numFmtId="166" formatCode="0.0"/>
    <numFmt numFmtId="167" formatCode="$0.000000"/>
    <numFmt numFmtId="168" formatCode="0.0000"/>
    <numFmt numFmtId="169" formatCode="0.000"/>
  </numFmts>
  <fonts count="12">
    <font>
      <sz val="11.0"/>
      <color rgb="FF000000"/>
      <name val="Georgia"/>
      <scheme val="minor"/>
    </font>
    <font>
      <b/>
      <sz val="16.0"/>
      <color rgb="FFFFFFFF"/>
      <name val="Carlito"/>
    </font>
    <font>
      <b/>
      <i/>
      <sz val="11.0"/>
      <color rgb="FF1F2937"/>
      <name val="Carlito"/>
    </font>
    <font>
      <i/>
      <sz val="11.0"/>
      <color rgb="FF1F2937"/>
      <name val="Carlito"/>
    </font>
    <font>
      <sz val="11.0"/>
      <color theme="1"/>
      <name val="Carlito"/>
    </font>
    <font>
      <b/>
      <sz val="9.0"/>
      <color rgb="FFFFFFFF"/>
      <name val="Carlito"/>
    </font>
    <font>
      <b/>
      <sz val="11.0"/>
      <color rgb="FFFFFFFF"/>
      <name val="Carlito"/>
    </font>
    <font>
      <sz val="9.0"/>
      <color rgb="FF000000"/>
      <name val="Carlito"/>
    </font>
    <font>
      <b/>
      <sz val="9.0"/>
      <color rgb="FF14213D"/>
      <name val="Carlito"/>
    </font>
    <font>
      <b/>
      <sz val="11.0"/>
      <color rgb="FF14213D"/>
      <name val="Carlito"/>
    </font>
    <font>
      <color theme="1"/>
      <name val="Georgia"/>
    </font>
    <font>
      <b/>
      <sz val="9.0"/>
      <color rgb="FF000000"/>
      <name val="Carlito"/>
    </font>
  </fonts>
  <fills count="11">
    <fill>
      <patternFill patternType="none"/>
    </fill>
    <fill>
      <patternFill patternType="lightGray"/>
    </fill>
    <fill>
      <patternFill patternType="solid">
        <fgColor rgb="FF14213D"/>
        <bgColor rgb="FF14213D"/>
      </patternFill>
    </fill>
    <fill>
      <patternFill patternType="solid">
        <fgColor rgb="FFDCE6F1"/>
        <bgColor rgb="FFDCE6F1"/>
      </patternFill>
    </fill>
    <fill>
      <patternFill patternType="solid">
        <fgColor rgb="FF2F5597"/>
        <bgColor rgb="FF2F5597"/>
      </patternFill>
    </fill>
    <fill>
      <patternFill patternType="solid">
        <fgColor rgb="FFF2F2F2"/>
        <bgColor rgb="FFF2F2F2"/>
      </patternFill>
    </fill>
    <fill>
      <patternFill patternType="solid">
        <fgColor rgb="FFEAF3F8"/>
        <bgColor rgb="FFEAF3F8"/>
      </patternFill>
    </fill>
    <fill>
      <patternFill patternType="solid">
        <fgColor rgb="FFC1E4F5"/>
        <bgColor rgb="FFC1E4F5"/>
      </patternFill>
    </fill>
    <fill>
      <patternFill patternType="solid">
        <fgColor rgb="FF1F4E78"/>
        <bgColor rgb="FF1F4E78"/>
      </patternFill>
    </fill>
    <fill>
      <patternFill patternType="solid">
        <fgColor rgb="FFFFF2CC"/>
        <bgColor rgb="FFFFF2CC"/>
      </patternFill>
    </fill>
    <fill>
      <patternFill patternType="solid">
        <fgColor rgb="FFE2F0D9"/>
        <bgColor rgb="FFE2F0D9"/>
      </patternFill>
    </fill>
  </fills>
  <borders count="2">
    <border/>
    <border>
      <bottom style="thin">
        <color rgb="FF1F2937"/>
      </bottom>
    </border>
  </borders>
  <cellStyleXfs count="1">
    <xf borderId="0" fillId="0" fontId="0" numFmtId="0" applyAlignment="1" applyFont="1"/>
  </cellStyleXfs>
  <cellXfs count="84">
    <xf borderId="0" fillId="0" fontId="0" numFmtId="0" xfId="0" applyAlignment="1" applyFont="1">
      <alignment readingOrder="0" shrinkToFit="0" vertical="bottom" wrapText="0"/>
    </xf>
    <xf borderId="0" fillId="2" fontId="1" numFmtId="0" xfId="0" applyAlignment="1" applyFill="1" applyFont="1">
      <alignment horizontal="left" shrinkToFit="0" vertical="center" wrapText="1"/>
    </xf>
    <xf borderId="0" fillId="3" fontId="2" numFmtId="0" xfId="0" applyAlignment="1" applyFill="1" applyFont="1">
      <alignment horizontal="left" shrinkToFit="0" vertical="center" wrapText="1"/>
    </xf>
    <xf borderId="0" fillId="3" fontId="3" numFmtId="0" xfId="0" applyAlignment="1" applyFont="1">
      <alignment horizontal="left" shrinkToFit="0" vertical="center" wrapText="1"/>
    </xf>
    <xf borderId="0" fillId="0" fontId="4" numFmtId="0" xfId="0" applyAlignment="1" applyFont="1">
      <alignment vertical="top"/>
    </xf>
    <xf borderId="1" fillId="4" fontId="5" numFmtId="0" xfId="0" applyAlignment="1" applyBorder="1" applyFill="1" applyFont="1">
      <alignment horizontal="center" shrinkToFit="0" vertical="center" wrapText="1"/>
    </xf>
    <xf borderId="1" fillId="4" fontId="6" numFmtId="0" xfId="0" applyAlignment="1" applyBorder="1" applyFont="1">
      <alignment horizontal="center" shrinkToFit="0" vertical="center" wrapText="1"/>
    </xf>
    <xf borderId="0" fillId="5" fontId="7" numFmtId="0" xfId="0" applyAlignment="1" applyFill="1" applyFont="1">
      <alignment horizontal="center" shrinkToFit="0" vertical="center" wrapText="1"/>
    </xf>
    <xf borderId="0" fillId="5" fontId="7" numFmtId="164" xfId="0" applyAlignment="1" applyFont="1" applyNumberFormat="1">
      <alignment horizontal="center" shrinkToFit="0" vertical="center" wrapText="1"/>
    </xf>
    <xf borderId="0" fillId="5" fontId="7" numFmtId="2" xfId="0" applyAlignment="1" applyFont="1" applyNumberFormat="1">
      <alignment horizontal="center" shrinkToFit="0" vertical="center" wrapText="1"/>
    </xf>
    <xf borderId="0" fillId="5" fontId="7" numFmtId="1" xfId="0" applyAlignment="1" applyFont="1" applyNumberFormat="1">
      <alignment horizontal="center" shrinkToFit="0" vertical="center" wrapText="1"/>
    </xf>
    <xf borderId="0" fillId="0" fontId="4" numFmtId="0" xfId="0" applyAlignment="1" applyFont="1">
      <alignment horizontal="center" shrinkToFit="0" vertical="center" wrapText="1"/>
    </xf>
    <xf borderId="0" fillId="6" fontId="8" numFmtId="0" xfId="0" applyAlignment="1" applyFill="1" applyFont="1">
      <alignment horizontal="center" shrinkToFit="0" vertical="center" wrapText="1"/>
    </xf>
    <xf borderId="0" fillId="6" fontId="7" numFmtId="0" xfId="0" applyAlignment="1" applyFont="1">
      <alignment horizontal="center" shrinkToFit="0" vertical="center" wrapText="1"/>
    </xf>
    <xf borderId="0" fillId="6" fontId="7" numFmtId="164" xfId="0" applyAlignment="1" applyFont="1" applyNumberFormat="1">
      <alignment horizontal="center" shrinkToFit="0" vertical="center" wrapText="1"/>
    </xf>
    <xf borderId="0" fillId="6" fontId="7" numFmtId="2" xfId="0" applyAlignment="1" applyFont="1" applyNumberFormat="1">
      <alignment horizontal="center" shrinkToFit="0" vertical="center" wrapText="1"/>
    </xf>
    <xf borderId="0" fillId="6" fontId="7" numFmtId="1" xfId="0" applyAlignment="1" applyFont="1" applyNumberFormat="1">
      <alignment horizontal="center" shrinkToFit="0" vertical="center" wrapText="1"/>
    </xf>
    <xf borderId="0" fillId="6" fontId="8" numFmtId="0" xfId="0" applyAlignment="1" applyFont="1">
      <alignment horizontal="center" readingOrder="0" shrinkToFit="0" vertical="center" wrapText="1"/>
    </xf>
    <xf borderId="0" fillId="6" fontId="9" numFmtId="0" xfId="0" applyAlignment="1" applyFont="1">
      <alignment horizontal="center" vertical="center"/>
    </xf>
    <xf borderId="0" fillId="6" fontId="4" numFmtId="0" xfId="0" applyAlignment="1" applyFont="1">
      <alignment horizontal="center" vertical="center"/>
    </xf>
    <xf borderId="0" fillId="6" fontId="4" numFmtId="164" xfId="0" applyAlignment="1" applyFont="1" applyNumberFormat="1">
      <alignment horizontal="center" vertical="center"/>
    </xf>
    <xf borderId="0" fillId="6" fontId="4" numFmtId="2" xfId="0" applyAlignment="1" applyFont="1" applyNumberFormat="1">
      <alignment horizontal="center" vertical="center"/>
    </xf>
    <xf borderId="0" fillId="6" fontId="4" numFmtId="1" xfId="0" applyAlignment="1" applyFont="1" applyNumberFormat="1">
      <alignment horizontal="center" vertical="center"/>
    </xf>
    <xf borderId="0" fillId="6" fontId="9" numFmtId="0" xfId="0" applyAlignment="1" applyFont="1">
      <alignment horizontal="center" readingOrder="0" vertical="center"/>
    </xf>
    <xf borderId="0" fillId="6" fontId="9" numFmtId="0" xfId="0" applyAlignment="1" applyFont="1">
      <alignment horizontal="center" vertical="center"/>
    </xf>
    <xf borderId="0" fillId="6" fontId="4" numFmtId="0" xfId="0" applyAlignment="1" applyFont="1">
      <alignment horizontal="center" vertical="center"/>
    </xf>
    <xf borderId="0" fillId="7" fontId="9" numFmtId="0" xfId="0" applyAlignment="1" applyFill="1" applyFont="1">
      <alignment horizontal="center"/>
    </xf>
    <xf borderId="0" fillId="7" fontId="9" numFmtId="0" xfId="0" applyAlignment="1" applyFont="1">
      <alignment horizontal="center" readingOrder="0"/>
    </xf>
    <xf borderId="0" fillId="5" fontId="7" numFmtId="0" xfId="0" applyAlignment="1" applyFont="1">
      <alignment horizontal="center" readingOrder="0" shrinkToFit="0" vertical="center" wrapText="1"/>
    </xf>
    <xf borderId="0" fillId="2" fontId="1" numFmtId="0" xfId="0" applyAlignment="1" applyFont="1">
      <alignment horizontal="left" shrinkToFit="0" vertical="top" wrapText="1"/>
    </xf>
    <xf borderId="0" fillId="8" fontId="6" numFmtId="0" xfId="0" applyAlignment="1" applyFill="1" applyFont="1">
      <alignment horizontal="left" shrinkToFit="0" vertical="top" wrapText="1"/>
    </xf>
    <xf borderId="0" fillId="8" fontId="5" numFmtId="0" xfId="0" applyAlignment="1" applyFont="1">
      <alignment horizontal="center" shrinkToFit="0" vertical="top" wrapText="1"/>
    </xf>
    <xf borderId="0" fillId="0" fontId="8" numFmtId="0" xfId="0" applyAlignment="1" applyFont="1">
      <alignment shrinkToFit="0" vertical="top" wrapText="1"/>
    </xf>
    <xf borderId="0" fillId="0" fontId="8" numFmtId="164" xfId="0" applyAlignment="1" applyFont="1" applyNumberFormat="1">
      <alignment shrinkToFit="0" vertical="top" wrapText="1"/>
    </xf>
    <xf borderId="0" fillId="0" fontId="7" numFmtId="0" xfId="0" applyAlignment="1" applyFont="1">
      <alignment shrinkToFit="0" vertical="top" wrapText="1"/>
    </xf>
    <xf borderId="0" fillId="0" fontId="7" numFmtId="165" xfId="0" applyAlignment="1" applyFont="1" applyNumberFormat="1">
      <alignment shrinkToFit="0" vertical="top" wrapText="1"/>
    </xf>
    <xf borderId="0" fillId="8" fontId="6" numFmtId="0" xfId="0" applyAlignment="1" applyFont="1">
      <alignment horizontal="left" shrinkToFit="0" vertical="center" wrapText="1"/>
    </xf>
    <xf borderId="0" fillId="0" fontId="7" numFmtId="166" xfId="0" applyAlignment="1" applyFont="1" applyNumberFormat="1">
      <alignment shrinkToFit="0" vertical="top" wrapText="1"/>
    </xf>
    <xf borderId="0" fillId="0" fontId="7" numFmtId="164" xfId="0" applyAlignment="1" applyFont="1" applyNumberFormat="1">
      <alignment shrinkToFit="0" vertical="top" wrapText="1"/>
    </xf>
    <xf borderId="0" fillId="0" fontId="10" numFmtId="0" xfId="0" applyFont="1"/>
    <xf borderId="0" fillId="0" fontId="4" numFmtId="2" xfId="0" applyFont="1" applyNumberFormat="1"/>
    <xf borderId="0" fillId="0" fontId="4" numFmtId="164" xfId="0" applyFont="1" applyNumberFormat="1"/>
    <xf borderId="0" fillId="0" fontId="4" numFmtId="0" xfId="0" applyAlignment="1" applyFont="1">
      <alignment shrinkToFit="0" wrapText="1"/>
    </xf>
    <xf borderId="0" fillId="0" fontId="4" numFmtId="164" xfId="0" applyAlignment="1" applyFont="1" applyNumberFormat="1">
      <alignment shrinkToFit="0" wrapText="1"/>
    </xf>
    <xf borderId="0" fillId="0" fontId="7" numFmtId="167" xfId="0" applyAlignment="1" applyFont="1" applyNumberFormat="1">
      <alignment shrinkToFit="0" vertical="top" wrapText="1"/>
    </xf>
    <xf borderId="0" fillId="0" fontId="4" numFmtId="0" xfId="0" applyAlignment="1" applyFont="1">
      <alignment shrinkToFit="0" wrapText="1"/>
    </xf>
    <xf borderId="0" fillId="0" fontId="4" numFmtId="165" xfId="0" applyAlignment="1" applyFont="1" applyNumberFormat="1">
      <alignment shrinkToFit="0" wrapText="1"/>
    </xf>
    <xf borderId="0" fillId="0" fontId="4" numFmtId="164" xfId="0" applyAlignment="1" applyFont="1" applyNumberFormat="1">
      <alignment shrinkToFit="0" wrapText="1"/>
    </xf>
    <xf borderId="0" fillId="0" fontId="4" numFmtId="165" xfId="0" applyFont="1" applyNumberFormat="1"/>
    <xf borderId="0" fillId="0" fontId="4" numFmtId="167" xfId="0" applyFont="1" applyNumberFormat="1"/>
    <xf borderId="1" fillId="4" fontId="6" numFmtId="0" xfId="0" applyAlignment="1" applyBorder="1" applyFont="1">
      <alignment horizontal="center" shrinkToFit="0" vertical="center" wrapText="1"/>
    </xf>
    <xf borderId="1" fillId="4" fontId="6" numFmtId="165" xfId="0" applyAlignment="1" applyBorder="1" applyFont="1" applyNumberFormat="1">
      <alignment horizontal="center" shrinkToFit="0" vertical="center" wrapText="1"/>
    </xf>
    <xf borderId="1" fillId="4" fontId="6" numFmtId="167" xfId="0" applyAlignment="1" applyBorder="1" applyFont="1" applyNumberFormat="1">
      <alignment horizontal="center" shrinkToFit="0" vertical="center" wrapText="1"/>
    </xf>
    <xf borderId="0" fillId="0" fontId="4" numFmtId="2" xfId="0" applyAlignment="1" applyFont="1" applyNumberFormat="1">
      <alignment shrinkToFit="0" wrapText="1"/>
    </xf>
    <xf borderId="0" fillId="0" fontId="4" numFmtId="1" xfId="0" applyAlignment="1" applyFont="1" applyNumberFormat="1">
      <alignment shrinkToFit="0" wrapText="1"/>
    </xf>
    <xf borderId="0" fillId="0" fontId="4" numFmtId="168" xfId="0" applyAlignment="1" applyFont="1" applyNumberFormat="1">
      <alignment shrinkToFit="0" wrapText="1"/>
    </xf>
    <xf borderId="0" fillId="0" fontId="4" numFmtId="168" xfId="0" applyAlignment="1" applyFont="1" applyNumberFormat="1">
      <alignment shrinkToFit="0" wrapText="1"/>
    </xf>
    <xf borderId="0" fillId="0" fontId="4" numFmtId="2" xfId="0" applyAlignment="1" applyFont="1" applyNumberFormat="1">
      <alignment shrinkToFit="0" wrapText="1"/>
    </xf>
    <xf borderId="0" fillId="0" fontId="4" numFmtId="1" xfId="0" applyAlignment="1" applyFont="1" applyNumberFormat="1">
      <alignment shrinkToFit="0" wrapText="1"/>
    </xf>
    <xf borderId="0" fillId="8" fontId="5" numFmtId="0" xfId="0" applyAlignment="1" applyFont="1">
      <alignment horizontal="center" shrinkToFit="0" vertical="center" wrapText="1"/>
    </xf>
    <xf borderId="0" fillId="0" fontId="4" numFmtId="0" xfId="0" applyAlignment="1" applyFont="1">
      <alignment shrinkToFit="0" vertical="center" wrapText="1"/>
    </xf>
    <xf borderId="0" fillId="0" fontId="7" numFmtId="0" xfId="0" applyAlignment="1" applyFont="1">
      <alignment shrinkToFit="0" vertical="center" wrapText="1"/>
    </xf>
    <xf borderId="0" fillId="0" fontId="7" numFmtId="1" xfId="0" applyAlignment="1" applyFont="1" applyNumberFormat="1">
      <alignment shrinkToFit="0" vertical="center" wrapText="1"/>
    </xf>
    <xf borderId="0" fillId="9" fontId="7" numFmtId="0" xfId="0" applyAlignment="1" applyFill="1" applyFont="1">
      <alignment shrinkToFit="0" vertical="center" wrapText="1"/>
    </xf>
    <xf borderId="0" fillId="0" fontId="4" numFmtId="2" xfId="0" applyAlignment="1" applyFont="1" applyNumberFormat="1">
      <alignment shrinkToFit="0" vertical="center" wrapText="1"/>
    </xf>
    <xf borderId="0" fillId="0" fontId="7" numFmtId="2" xfId="0" applyAlignment="1" applyFont="1" applyNumberFormat="1">
      <alignment shrinkToFit="0" vertical="center" wrapText="1"/>
    </xf>
    <xf borderId="0" fillId="0" fontId="4" numFmtId="0" xfId="0" applyAlignment="1" applyFont="1">
      <alignment shrinkToFit="0" vertical="center" wrapText="1"/>
    </xf>
    <xf borderId="0" fillId="0" fontId="4" numFmtId="2" xfId="0" applyAlignment="1" applyFont="1" applyNumberFormat="1">
      <alignment shrinkToFit="0" vertical="center" wrapText="1"/>
    </xf>
    <xf borderId="0" fillId="9" fontId="4" numFmtId="0" xfId="0" applyAlignment="1" applyFont="1">
      <alignment shrinkToFit="0" vertical="center" wrapText="1"/>
    </xf>
    <xf borderId="0" fillId="8" fontId="5" numFmtId="0" xfId="0" applyAlignment="1" applyFont="1">
      <alignment horizontal="center" shrinkToFit="0" vertical="center" wrapText="1"/>
    </xf>
    <xf borderId="0" fillId="0" fontId="7" numFmtId="0" xfId="0" applyAlignment="1" applyFont="1">
      <alignment shrinkToFit="0" vertical="top" wrapText="1"/>
    </xf>
    <xf borderId="0" fillId="10" fontId="7" numFmtId="0" xfId="0" applyAlignment="1" applyFill="1" applyFont="1">
      <alignment shrinkToFit="0" vertical="top" wrapText="1"/>
    </xf>
    <xf borderId="0" fillId="9" fontId="7" numFmtId="0" xfId="0" applyAlignment="1" applyFont="1">
      <alignment shrinkToFit="0" vertical="top" wrapText="1"/>
    </xf>
    <xf borderId="0" fillId="0" fontId="4" numFmtId="0" xfId="0" applyAlignment="1" applyFont="1">
      <alignment shrinkToFit="0" vertical="top" wrapText="1"/>
    </xf>
    <xf borderId="0" fillId="8" fontId="11" numFmtId="0" xfId="0" applyAlignment="1" applyFont="1">
      <alignment horizontal="center" shrinkToFit="0" vertical="top" wrapText="1"/>
    </xf>
    <xf borderId="0" fillId="0" fontId="4" numFmtId="0" xfId="0" applyAlignment="1" applyFont="1">
      <alignment shrinkToFit="0" vertical="top" wrapText="1"/>
    </xf>
    <xf borderId="0" fillId="8" fontId="5" numFmtId="0" xfId="0" applyAlignment="1" applyFont="1">
      <alignment horizontal="center" shrinkToFit="0" vertical="top" wrapText="1"/>
    </xf>
    <xf borderId="0" fillId="0" fontId="8" numFmtId="0" xfId="0" applyAlignment="1" applyFont="1">
      <alignment shrinkToFit="0" vertical="top" wrapText="1"/>
    </xf>
    <xf borderId="0" fillId="0" fontId="7" numFmtId="169" xfId="0" applyAlignment="1" applyFont="1" applyNumberFormat="1">
      <alignment shrinkToFit="0" vertical="top" wrapText="1"/>
    </xf>
    <xf borderId="0" fillId="0" fontId="10" numFmtId="0" xfId="0" applyFont="1"/>
    <xf borderId="0" fillId="0" fontId="4" numFmtId="9" xfId="0" applyFont="1" applyNumberFormat="1"/>
    <xf borderId="1" fillId="4" fontId="6" numFmtId="0" xfId="0" applyAlignment="1" applyBorder="1" applyFont="1">
      <alignment horizontal="center" shrinkToFit="0" vertical="top" wrapText="1"/>
    </xf>
    <xf borderId="0" fillId="0" fontId="4" numFmtId="2" xfId="0" applyAlignment="1" applyFont="1" applyNumberFormat="1">
      <alignment shrinkToFit="0" vertical="top" wrapText="1"/>
    </xf>
    <xf borderId="0" fillId="0" fontId="4" numFmtId="164" xfId="0" applyAlignment="1" applyFont="1" applyNumberFormat="1">
      <alignment shrinkToFit="0" vertical="top" wrapText="1"/>
    </xf>
  </cellXfs>
  <cellStyles count="1">
    <cellStyle xfId="0" name="Normal" builtinId="0"/>
  </cellStyles>
  <dxfs count="4">
    <dxf>
      <font/>
      <fill>
        <patternFill patternType="none"/>
      </fill>
      <border/>
    </dxf>
    <dxf>
      <font/>
      <fill>
        <patternFill patternType="solid">
          <fgColor theme="4"/>
          <bgColor theme="4"/>
        </patternFill>
      </fill>
      <border/>
    </dxf>
    <dxf>
      <font/>
      <fill>
        <patternFill patternType="solid">
          <fgColor rgb="FFC1E4F5"/>
          <bgColor rgb="FFC1E4F5"/>
        </patternFill>
      </fill>
      <border/>
    </dxf>
    <dxf>
      <font/>
      <fill>
        <patternFill patternType="solid">
          <fgColor theme="0"/>
          <bgColor theme="0"/>
        </patternFill>
      </fill>
      <border/>
    </dxf>
  </dxfs>
  <tableStyles count="17">
    <tableStyle count="3" pivot="0" name="Master Models-style">
      <tableStyleElement dxfId="1" type="headerRow"/>
      <tableStyleElement dxfId="2" type="firstRowStripe"/>
      <tableStyleElement dxfId="3" type="secondRowStripe"/>
    </tableStyle>
    <tableStyle count="3" pivot="0" name="Google Model Data-style">
      <tableStyleElement dxfId="1" type="headerRow"/>
      <tableStyleElement dxfId="2" type="firstRowStripe"/>
      <tableStyleElement dxfId="3" type="secondRowStripe"/>
    </tableStyle>
    <tableStyle count="3" pivot="0" name="Benchmarks-style">
      <tableStyleElement dxfId="1" type="headerRow"/>
      <tableStyleElement dxfId="2" type="firstRowStripe"/>
      <tableStyleElement dxfId="3" type="secondRowStripe"/>
    </tableStyle>
    <tableStyle count="3" pivot="0" name="Provider Limits-style">
      <tableStyleElement dxfId="1" type="headerRow"/>
      <tableStyleElement dxfId="2" type="firstRowStripe"/>
      <tableStyleElement dxfId="3" type="secondRowStripe"/>
    </tableStyle>
    <tableStyle count="3" pivot="0" name="Methodology &amp; Sources-style">
      <tableStyleElement dxfId="1" type="headerRow"/>
      <tableStyleElement dxfId="2" type="firstRowStripe"/>
      <tableStyleElement dxfId="3" type="secondRowStripe"/>
    </tableStyle>
    <tableStyle count="3" pivot="0" name="Methodology &amp; Sources-style 2">
      <tableStyleElement dxfId="1" type="headerRow"/>
      <tableStyleElement dxfId="2" type="firstRowStripe"/>
      <tableStyleElement dxfId="3" type="secondRowStripe"/>
    </tableStyle>
    <tableStyle count="3" pivot="0" name="Methodology &amp; Sources-style 3">
      <tableStyleElement dxfId="1" type="headerRow"/>
      <tableStyleElement dxfId="2" type="firstRowStripe"/>
      <tableStyleElement dxfId="3" type="secondRowStripe"/>
    </tableStyle>
    <tableStyle count="3" pivot="0" name="Methodology &amp; Sources-style 4">
      <tableStyleElement dxfId="1" type="headerRow"/>
      <tableStyleElement dxfId="2" type="firstRowStripe"/>
      <tableStyleElement dxfId="3" type="secondRowStripe"/>
    </tableStyle>
    <tableStyle count="3" pivot="0" name="Model Router-style">
      <tableStyleElement dxfId="1" type="headerRow"/>
      <tableStyleElement dxfId="2" type="firstRowStripe"/>
      <tableStyleElement dxfId="3" type="secondRowStripe"/>
    </tableStyle>
    <tableStyle count="3" pivot="0" name="Expansion Scope-style">
      <tableStyleElement dxfId="1" type="headerRow"/>
      <tableStyleElement dxfId="2" type="firstRowStripe"/>
      <tableStyleElement dxfId="3" type="secondRowStripe"/>
    </tableStyle>
    <tableStyle count="3" pivot="0" name="Expansion Scope-style 2">
      <tableStyleElement dxfId="1" type="headerRow"/>
      <tableStyleElement dxfId="2" type="firstRowStripe"/>
      <tableStyleElement dxfId="3" type="secondRowStripe"/>
    </tableStyle>
    <tableStyle count="3" pivot="0" name="Baseline Reference-style">
      <tableStyleElement dxfId="1" type="headerRow"/>
      <tableStyleElement dxfId="2" type="firstRowStripe"/>
      <tableStyleElement dxfId="3" type="secondRowStripe"/>
    </tableStyle>
    <tableStyle count="3" pivot="0" name="Session 3 Handoff-style">
      <tableStyleElement dxfId="1" type="headerRow"/>
      <tableStyleElement dxfId="2" type="firstRowStripe"/>
      <tableStyleElement dxfId="3" type="secondRowStripe"/>
    </tableStyle>
    <tableStyle count="3" pivot="0" name="Mistral &amp; Nemotron Data-style">
      <tableStyleElement dxfId="1" type="headerRow"/>
      <tableStyleElement dxfId="2" type="firstRowStripe"/>
      <tableStyleElement dxfId="3" type="secondRowStripe"/>
    </tableStyle>
    <tableStyle count="3" pivot="0" name="Session 4 Handoff-style">
      <tableStyleElement dxfId="1" type="headerRow"/>
      <tableStyleElement dxfId="2" type="firstRowStripe"/>
      <tableStyleElement dxfId="3" type="secondRowStripe"/>
    </tableStyle>
    <tableStyle count="3" pivot="0" name="Session 5 Model Data-style">
      <tableStyleElement dxfId="1" type="headerRow"/>
      <tableStyleElement dxfId="2" type="firstRowStripe"/>
      <tableStyleElement dxfId="3" type="secondRowStripe"/>
    </tableStyle>
    <tableStyle count="3" pivot="0" name="Session 5 Handoff-style">
      <tableStyleElement dxfId="1" type="headerRow"/>
      <tableStyleElement dxfId="2" type="firstRowStripe"/>
      <tableStyleElement dxfId="3" type="secondRowStripe"/>
    </tableStyle>
  </tableStyles>
</styleSheet>
</file>

<file path=xl/_rels/workbook.xml.rels><?xml version="1.0" encoding="UTF-8" standalone="yes"?><Relationships xmlns="http://schemas.openxmlformats.org/package/2006/relationships"><Relationship Id="rId11" Type="http://schemas.openxmlformats.org/officeDocument/2006/relationships/worksheet" Target="worksheets/sheet8.xml"/><Relationship Id="rId10" Type="http://schemas.openxmlformats.org/officeDocument/2006/relationships/worksheet" Target="worksheets/sheet7.xml"/><Relationship Id="rId13" Type="http://schemas.openxmlformats.org/officeDocument/2006/relationships/worksheet" Target="worksheets/sheet10.xml"/><Relationship Id="rId12" Type="http://schemas.openxmlformats.org/officeDocument/2006/relationships/worksheet" Target="worksheets/sheet9.xml"/><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openxmlformats.org/officeDocument/2006/relationships/worksheet" Target="worksheets/sheet1.xml"/><Relationship Id="rId9" Type="http://schemas.openxmlformats.org/officeDocument/2006/relationships/worksheet" Target="worksheets/sheet6.xml"/><Relationship Id="rId15" Type="http://schemas.openxmlformats.org/officeDocument/2006/relationships/worksheet" Target="worksheets/sheet12.xml"/><Relationship Id="rId14" Type="http://schemas.openxmlformats.org/officeDocument/2006/relationships/worksheet" Target="worksheets/sheet11.xml"/><Relationship Id="rId17" Type="http://schemas.openxmlformats.org/officeDocument/2006/relationships/worksheet" Target="worksheets/sheet14.xml"/><Relationship Id="rId16" Type="http://schemas.openxmlformats.org/officeDocument/2006/relationships/worksheet" Target="worksheets/sheet13.xml"/><Relationship Id="rId5" Type="http://schemas.openxmlformats.org/officeDocument/2006/relationships/worksheet" Target="worksheets/sheet2.xml"/><Relationship Id="rId19" Type="http://customschemas.google.com/relationships/workbookmetadata" Target="metadata"/><Relationship Id="rId6" Type="http://schemas.openxmlformats.org/officeDocument/2006/relationships/worksheet" Target="worksheets/sheet3.xml"/><Relationship Id="rId18" Type="http://schemas.openxmlformats.org/officeDocument/2006/relationships/worksheet" Target="worksheets/sheet15.xml"/><Relationship Id="rId7" Type="http://schemas.openxmlformats.org/officeDocument/2006/relationships/worksheet" Target="worksheets/sheet4.xml"/><Relationship Id="rId8" Type="http://schemas.openxmlformats.org/officeDocument/2006/relationships/worksheet" Target="worksheets/sheet5.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0.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ables/table1.xml><?xml version="1.0" encoding="utf-8"?>
<table xmlns="http://schemas.openxmlformats.org/spreadsheetml/2006/main" ref="A4:BU35" displayName="Table_1" name="Table_1" id="1">
  <tableColumns count="73">
    <tableColumn name="Provider" id="1"/>
    <tableColumn name="Package" id="2"/>
    <tableColumn name="Model" id="3"/>
    <tableColumn name="Model ID" id="4"/>
    <tableColumn name="Family" id="5"/>
    <tableColumn name="Generation" id="6"/>
    <tableColumn name="Status" id="7"/>
    <tableColumn name="Release Date" id="8"/>
    <tableColumn name="Model Type" id="9"/>
    <tableColumn name="Coding Specialization" id="10"/>
    <tableColumn name="Vision Support" id="11"/>
    <tableColumn name="Reasoning Support" id="12"/>
    <tableColumn name="Parallel-Agent Support" id="13"/>
    <tableColumn name="Knowledge Cutoff" id="14"/>
    <tableColumn name="Context Tokens" id="15"/>
    <tableColumn name="Max Output Tokens" id="16"/>
    <tableColumn name="Speed Rating" id="17"/>
    <tableColumn name="Verified TPS" id="18"/>
    <tableColumn name="Subscription USD/mo" id="19"/>
    <tableColumn name="Intro Price USD" id="20"/>
    <tableColumn name="Usage Window Hours" id="21"/>
    <tableColumn name="5h Min Requests" id="22"/>
    <tableColumn name="5h Max Requests" id="23"/>
    <tableColumn name="Weekly Requests" id="24"/>
    <tableColumn name="Monthly Requests" id="25"/>
    <tableColumn name="Input $/M" id="26"/>
    <tableColumn name="Cached Read $/M" id="27"/>
    <tableColumn name="Cache Write $/M" id="28"/>
    <tableColumn name="Output $/M" id="29"/>
    <tableColumn name="Long Context Input $/M" id="30"/>
    <tableColumn name="Long Context Cached $/M" id="31"/>
    <tableColumn name="Long Context Cache Write $/M" id="32"/>
    <tableColumn name="Long Context Output $/M" id="33"/>
    <tableColumn name="Avg Request Cost $" id="34"/>
    <tableColumn name="Provider Relative Usage Cost" id="35"/>
    <tableColumn name="SWE-Bench Pro" id="36"/>
    <tableColumn name="Terminal-Bench 2.1" id="37"/>
    <tableColumn name="Terminal-Bench 2.0" id="38"/>
    <tableColumn name="Coding Agent Index" id="39"/>
    <tableColumn name="SWE-Bench Verified" id="40"/>
    <tableColumn name="Toolathlon" id="41"/>
    <tableColumn name="MCP Atlas" id="42"/>
    <tableColumn name="OSWorld" id="43"/>
    <tableColumn name="GPQA Diamond" id="44"/>
    <tableColumn name="Headline Long-Context %" id="45"/>
    <tableColumn name="Benchmark Confidence" id="46"/>
    <tableColumn name="Coding Benchmark Score" id="47"/>
    <tableColumn name="Agent/Tool Score" id="48"/>
    <tableColumn name="Repository Repair Score" id="49"/>
    <tableColumn name="Long Context Score" id="50"/>
    <tableColumn name="Speed Score" id="51"/>
    <tableColumn name="Usage Efficiency Score" id="52"/>
    <tableColumn name="Multimodality Score" id="53"/>
    <tableColumn name="Provider Reliability Score" id="54"/>
    <tableColumn name="Capability Score" id="55"/>
    <tableColumn name="Capability Rank" id="56"/>
    <tableColumn name="Balanced Score" id="57"/>
    <tableColumn name="Balanced Rank" id="58"/>
    <tableColumn name="Value Score" id="59"/>
    <tableColumn name="Value Rank" id="60"/>
    <tableColumn name="Long Context Rank" id="61"/>
    <tableColumn name="Terminal/DevOps Rank" id="62"/>
    <tableColumn name="UI/Frontend Rank" id="63"/>
    <tableColumn name="Architecture Rank" id="64"/>
    <tableColumn name="Review/Debug Rank" id="65"/>
    <tableColumn name="Bulk Worker Rank" id="66"/>
    <tableColumn name="Best Use" id="67"/>
    <tableColumn name="Avoid For" id="68"/>
    <tableColumn name="Roster Source" id="69"/>
    <tableColumn name="Pricing Source" id="70"/>
    <tableColumn name="Benchmark Source" id="71"/>
    <tableColumn name="Verified On" id="72"/>
    <tableColumn name="Needs Recheck" id="73"/>
  </tableColumns>
  <tableStyleInfo name="Master Models-style" showColumnStripes="0" showFirstColumn="1" showLastColumn="1" showRowStripes="1"/>
</table>
</file>

<file path=xl/tables/table2.xml><?xml version="1.0" encoding="utf-8"?>
<table xmlns="http://schemas.openxmlformats.org/spreadsheetml/2006/main" ref="A4:T12" displayName="Table_2" name="Table_2" id="2">
  <tableColumns count="20">
    <tableColumn name="Model" id="1"/>
    <tableColumn name="Model ID" id="2"/>
    <tableColumn name="Lifecycle" id="3"/>
    <tableColumn name="Release Date" id="4"/>
    <tableColumn name="Architecture / Class" id="5"/>
    <tableColumn name="Parameters" id="6"/>
    <tableColumn name="Context" id="7"/>
    <tableColumn name="Max Output" id="8"/>
    <tableColumn name="Inputs" id="9"/>
    <tableColumn name="Reasoning" id="10"/>
    <tableColumn name="Tool / Agent Support" id="11"/>
    <tableColumn name="Input $/M" id="12"/>
    <tableColumn name="Cache $/M" id="13"/>
    <tableColumn name="Output $/M" id="14"/>
    <tableColumn name="Long Input $/M" id="15"/>
    <tableColumn name="Long Output $/M" id="16"/>
    <tableColumn name="Free Tier" id="17"/>
    <tableColumn name="Primary Coding Evidence" id="18"/>
    <tableColumn name="Official Model Source" id="19"/>
    <tableColumn name="Notes" id="20"/>
  </tableColumns>
  <tableStyleInfo name="Google Model Data-style" showColumnStripes="0" showFirstColumn="1" showLastColumn="1" showRowStripes="1"/>
</table>
</file>

<file path=xl/tables/table3.xml><?xml version="1.0" encoding="utf-8"?>
<table xmlns="http://schemas.openxmlformats.org/spreadsheetml/2006/main" ref="A4:M180" displayName="Table_3" name="Table_3" id="3">
  <tableColumns count="13">
    <tableColumn name="Provider" id="1"/>
    <tableColumn name="Model" id="2"/>
    <tableColumn name="Category" id="3"/>
    <tableColumn name="Benchmark" id="4"/>
    <tableColumn name="Version / Setting" id="5"/>
    <tableColumn name="Score" id="6"/>
    <tableColumn name="Unit" id="7"/>
    <tableColumn name="Higher Better" id="8"/>
    <tableColumn name="Comparable Group" id="9"/>
    <tableColumn name="Source Type" id="10"/>
    <tableColumn name="Source URL" id="11"/>
    <tableColumn name="Notes" id="12"/>
    <tableColumn name="Verified On" id="13"/>
  </tableColumns>
  <tableStyleInfo name="Benchmarks-style" showColumnStripes="0" showFirstColumn="1" showLastColumn="1" showRowStripes="1"/>
</table>
</file>

<file path=xl/tables/table4.xml><?xml version="1.0" encoding="utf-8"?>
<table xmlns="http://schemas.openxmlformats.org/spreadsheetml/2006/main" headerRowCount="0" ref="A4:Q26" displayName="Table_4" name="Table_4" id="4">
  <tableColumns count="17">
    <tableColumn name="Column1" id="1"/>
    <tableColumn name="Column2" id="2"/>
    <tableColumn name="Column3" id="3"/>
    <tableColumn name="Column4" id="4"/>
    <tableColumn name="Column5" id="5"/>
    <tableColumn name="Column6" id="6"/>
    <tableColumn name="Column7" id="7"/>
    <tableColumn name="Column8" id="8"/>
    <tableColumn name="Column9" id="9"/>
    <tableColumn name="Column10" id="10"/>
    <tableColumn name="Column11" id="11"/>
    <tableColumn name="Column12" id="12"/>
    <tableColumn name="Column13" id="13"/>
    <tableColumn name="Column14" id="14"/>
    <tableColumn name="Column15" id="15"/>
    <tableColumn name="Column16" id="16"/>
    <tableColumn name="Column17" id="17"/>
  </tableColumns>
  <tableStyleInfo name="Provider Limits-style" showColumnStripes="0" showFirstColumn="1" showLastColumn="1" showRowStripes="1"/>
  <extLst>
    <ext uri="GoogleSheetsCustomDataVersion1">
      <go:sheetsCustomData xmlns:go="http://customooxmlschemas.google.com/" headerRowCount="1"/>
    </ext>
  </extLst>
</table>
</file>

<file path=xl/tables/table5.xml><?xml version="1.0" encoding="utf-8"?>
<table xmlns="http://schemas.openxmlformats.org/spreadsheetml/2006/main" ref="A4:G11" displayName="Table_5" name="Table_5" id="5">
  <tableColumns count="7">
    <tableColumn name="Rule" id="1"/>
    <tableColumn name="Decision" id="2"/>
    <tableColumn name="Operational Effect" id="3"/>
    <tableColumn name="Session 3 Application" id="4"/>
    <tableColumn name="Cross-provider Comparable?" id="5"/>
    <tableColumn name="Caveat" id="6"/>
    <tableColumn name="Status" id="7"/>
  </tableColumns>
  <tableStyleInfo name="Methodology &amp; Sources-style" showColumnStripes="0" showFirstColumn="1" showLastColumn="1" showRowStripes="1"/>
</table>
</file>

<file path=xl/tables/table6.xml><?xml version="1.0" encoding="utf-8"?>
<table xmlns="http://schemas.openxmlformats.org/spreadsheetml/2006/main" ref="A14:G29" displayName="Table_6" name="Table_6" id="6">
  <tableColumns count="7">
    <tableColumn name="Source Category" id="1"/>
    <tableColumn name="Provider / Model" id="2"/>
    <tableColumn name="URL" id="3"/>
    <tableColumn name="Source Type" id="4"/>
    <tableColumn name="Reliability" id="5"/>
    <tableColumn name="Used For" id="6"/>
    <tableColumn name="Notes" id="7"/>
  </tableColumns>
  <tableStyleInfo name="Methodology &amp; Sources-style 2" showColumnStripes="0" showFirstColumn="1" showLastColumn="1" showRowStripes="1"/>
</table>
</file>

<file path=xl/tables/table7.xml><?xml version="1.0" encoding="utf-8"?>
<table xmlns="http://schemas.openxmlformats.org/spreadsheetml/2006/main" ref="A32:G47" displayName="Table_7" name="Table_7" id="7">
  <tableColumns count="7">
    <tableColumn name="Session 4 Source Category" id="1"/>
    <tableColumn name="Provider / Model" id="2"/>
    <tableColumn name="URL" id="3"/>
    <tableColumn name="Source Type" id="4"/>
    <tableColumn name="Reliability" id="5"/>
    <tableColumn name="Used For" id="6"/>
    <tableColumn name="Notes" id="7"/>
  </tableColumns>
  <tableStyleInfo name="Methodology &amp; Sources-style 3" showColumnStripes="0" showFirstColumn="1" showLastColumn="1" showRowStripes="1"/>
</table>
</file>

<file path=xl/tables/table8.xml><?xml version="1.0" encoding="utf-8"?>
<table xmlns="http://schemas.openxmlformats.org/spreadsheetml/2006/main" ref="A50:G59" displayName="Table_8" name="Table_8" id="8">
  <tableColumns count="7">
    <tableColumn name="Session 5 Source Category" id="1"/>
    <tableColumn name="Provider / Model" id="2"/>
    <tableColumn name="URL" id="3"/>
    <tableColumn name="Source Type" id="4"/>
    <tableColumn name="Reliability" id="5"/>
    <tableColumn name="Used For" id="6"/>
    <tableColumn name="Notes" id="7"/>
  </tableColumns>
  <tableStyleInfo name="Methodology &amp; Sources-style 4" showColumnStripes="0" showFirstColumn="1" showLastColumn="1" showRowStripes="1"/>
</table>
</file>

<file path=xl/tables/table9.xml><?xml version="1.0" encoding="utf-8"?>
<table xmlns="http://schemas.openxmlformats.org/spreadsheetml/2006/main" headerRowCount="0" ref="A4:H26" displayName="Table_9" name="Table_9" id="9">
  <tableColumns count="8">
    <tableColumn name="Column1" id="1"/>
    <tableColumn name="Column2" id="2"/>
    <tableColumn name="Column3" id="3"/>
    <tableColumn name="Column4" id="4"/>
    <tableColumn name="Column5" id="5"/>
    <tableColumn name="Column6" id="6"/>
    <tableColumn name="Column7" id="7"/>
    <tableColumn name="Column8" id="8"/>
  </tableColumns>
  <tableStyleInfo name="Model Router-style" showColumnStripes="0" showFirstColumn="1" showLastColumn="1" showRowStripes="1"/>
  <extLst>
    <ext uri="GoogleSheetsCustomDataVersion1">
      <go:sheetsCustomData xmlns:go="http://customooxmlschemas.google.com/" headerRowCount="1"/>
    </ext>
  </extLst>
</table>
</file>

<file path=xl/tables/table10.xml><?xml version="1.0" encoding="utf-8"?>
<table xmlns="http://schemas.openxmlformats.org/spreadsheetml/2006/main" headerRowCount="0" ref="A14:J31" displayName="Table_10" name="Table_10" id="10">
  <tableColumns count="10">
    <tableColumn name="Column1" id="1"/>
    <tableColumn name="Column2" id="2"/>
    <tableColumn name="Column3" id="3"/>
    <tableColumn name="Column4" id="4"/>
    <tableColumn name="Column5" id="5"/>
    <tableColumn name="Column6" id="6"/>
    <tableColumn name="Column7" id="7"/>
    <tableColumn name="Column8" id="8"/>
    <tableColumn name="Column9" id="9"/>
    <tableColumn name="Column10" id="10"/>
  </tableColumns>
  <tableStyleInfo name="Expansion Scope-style" showColumnStripes="0" showFirstColumn="1" showLastColumn="1" showRowStripes="1"/>
  <extLst>
    <ext uri="GoogleSheetsCustomDataVersion1">
      <go:sheetsCustomData xmlns:go="http://customooxmlschemas.google.com/" headerRowCount="1"/>
    </ext>
  </extLst>
</table>
</file>

<file path=xl/tables/table11.xml><?xml version="1.0" encoding="utf-8"?>
<table xmlns="http://schemas.openxmlformats.org/spreadsheetml/2006/main" ref="A15:J47" displayName="Table_11" name="Table_11" id="11">
  <tableColumns count="10">
    <tableColumn name="Model Router" id="1"/>
    <tableColumn name="Rebuilt" id="2"/>
    <tableColumn name="Final" id="3"/>
    <tableColumn name="Deprecated models excluded from defaults." id="4"/>
    <tableColumn name="Canonical Model ID" id="5"/>
    <tableColumn name="Lifecycle" id="6"/>
    <tableColumn name="Ranking Class" id="7"/>
    <tableColumn name="Progress" id="8"/>
    <tableColumn name="Official Source" id="9"/>
    <tableColumn name="Notes" id="10"/>
  </tableColumns>
  <tableStyleInfo name="Expansion Scope-style 2" showColumnStripes="0" showFirstColumn="1" showLastColumn="1" showRowStripes="1"/>
</table>
</file>

<file path=xl/tables/table12.xml><?xml version="1.0" encoding="utf-8"?>
<table xmlns="http://schemas.openxmlformats.org/spreadsheetml/2006/main" ref="A4:F33" displayName="Table_12" name="Table_12" id="12">
  <tableColumns count="6">
    <tableColumn name="Provider" id="1"/>
    <tableColumn name="Package" id="2"/>
    <tableColumn name="Model" id="3"/>
    <tableColumn name="Model ID" id="4"/>
    <tableColumn name="Status" id="5"/>
    <tableColumn name="Authoritative Source" id="6"/>
  </tableColumns>
  <tableStyleInfo name="Baseline Reference-style" showColumnStripes="0" showFirstColumn="1" showLastColumn="1" showRowStripes="1"/>
</table>
</file>

<file path=xl/tables/table13.xml><?xml version="1.0" encoding="utf-8"?>
<table xmlns="http://schemas.openxmlformats.org/spreadsheetml/2006/main" ref="A13:F24" displayName="Table_13" name="Table_13" id="13">
  <tableColumns count="6">
    <tableColumn name="Handoff Category" id="1"/>
    <tableColumn name="Item" id="2"/>
    <tableColumn name="Decision / Finding" id="3"/>
    <tableColumn name="Missing or Estimated" id="4"/>
    <tableColumn name="Conflict / Caveat" id="5"/>
    <tableColumn name="Primary Sources" id="6"/>
  </tableColumns>
  <tableStyleInfo name="Session 3 Handoff-style" showColumnStripes="0" showFirstColumn="1" showLastColumn="1" showRowStripes="1"/>
</table>
</file>

<file path=xl/tables/table14.xml><?xml version="1.0" encoding="utf-8"?>
<table xmlns="http://schemas.openxmlformats.org/spreadsheetml/2006/main" ref="A4:T13" displayName="Table_14" name="Table_14" id="14">
  <tableColumns count="20">
    <tableColumn name="Developer" id="1"/>
    <tableColumn name="Host / Access Path" id="2"/>
    <tableColumn name="Model" id="3"/>
    <tableColumn name="Canonical Model ID" id="4"/>
    <tableColumn name="Lifecycle" id="5"/>
    <tableColumn name="Release Date" id="6"/>
    <tableColumn name="Architecture" id="7"/>
    <tableColumn name="Total Params" id="8"/>
    <tableColumn name="Active Params" id="9"/>
    <tableColumn name="Context" id="10"/>
    <tableColumn name="Modalities" id="11"/>
    <tableColumn name="Reasoning" id="12"/>
    <tableColumn name="Agent / Tool Support" id="13"/>
    <tableColumn name="Input $/M" id="14"/>
    <tableColumn name="Cached $/M" id="15"/>
    <tableColumn name="Output $/M" id="16"/>
    <tableColumn name="Primary Coding Evidence" id="17"/>
    <tableColumn name="Long-Context Evidence" id="18"/>
    <tableColumn name="Official Source" id="19"/>
    <tableColumn name="Notes" id="20"/>
  </tableColumns>
  <tableStyleInfo name="Mistral &amp; Nemotron Data-style" showColumnStripes="0" showFirstColumn="1" showLastColumn="1" showRowStripes="1"/>
</table>
</file>

<file path=xl/tables/table15.xml><?xml version="1.0" encoding="utf-8"?>
<table xmlns="http://schemas.openxmlformats.org/spreadsheetml/2006/main" ref="A14:F27" displayName="Table_15" name="Table_15" id="15">
  <tableColumns count="6">
    <tableColumn name="Handoff Category" id="1"/>
    <tableColumn name="Item" id="2"/>
    <tableColumn name="Decision / Finding" id="3"/>
    <tableColumn name="Missing or Estimated" id="4"/>
    <tableColumn name="Conflict / Caveat" id="5"/>
    <tableColumn name="Primary Sources" id="6"/>
  </tableColumns>
  <tableStyleInfo name="Session 4 Handoff-style" showColumnStripes="0" showFirstColumn="1" showLastColumn="1" showRowStripes="1"/>
</table>
</file>

<file path=xl/tables/table16.xml><?xml version="1.0" encoding="utf-8"?>
<table xmlns="http://schemas.openxmlformats.org/spreadsheetml/2006/main" ref="A4:V9" displayName="Table_16" name="Table_16" id="16">
  <tableColumns count="22">
    <tableColumn name="Developer" id="1"/>
    <tableColumn name="Access Path" id="2"/>
    <tableColumn name="Model" id="3"/>
    <tableColumn name="Canonical Model ID" id="4"/>
    <tableColumn name="Lifecycle" id="5"/>
    <tableColumn name="Release Date" id="6"/>
    <tableColumn name="Architecture" id="7"/>
    <tableColumn name="Total Params" id="8"/>
    <tableColumn name="Active Params" id="9"/>
    <tableColumn name="Vision Encoder" id="10"/>
    <tableColumn name="Context" id="11"/>
    <tableColumn name="Reasoning Context" id="12"/>
    <tableColumn name="Modalities" id="13"/>
    <tableColumn name="Reasoning Modes" id="14"/>
    <tableColumn name="Agent / Tool Support" id="15"/>
    <tableColumn name="Input Price /M" id="16"/>
    <tableColumn name="Cached Input /M" id="17"/>
    <tableColumn name="Output Price /M" id="18"/>
    <tableColumn name="Currency" id="19"/>
    <tableColumn name="Open Weights" id="20"/>
    <tableColumn name="Primary Coding Evidence" id="21"/>
    <tableColumn name="Notes" id="22"/>
  </tableColumns>
  <tableStyleInfo name="Session 5 Model Data-style" showColumnStripes="0" showFirstColumn="1" showLastColumn="1" showRowStripes="1"/>
</table>
</file>

<file path=xl/tables/table17.xml><?xml version="1.0" encoding="utf-8"?>
<table xmlns="http://schemas.openxmlformats.org/spreadsheetml/2006/main" ref="A15:F26" displayName="Table_17" name="Table_17" id="17">
  <tableColumns count="6">
    <tableColumn name="Handoff Category" id="1"/>
    <tableColumn name="Item" id="2"/>
    <tableColumn name="Decision / Finding" id="3"/>
    <tableColumn name="Missing or Estimated" id="4"/>
    <tableColumn name="Conflict / Caveat" id="5"/>
    <tableColumn name="Primary Sources" id="6"/>
  </tableColumns>
  <tableStyleInfo name="Session 5 Handoff-style" showColumnStripes="0" showFirstColumn="1" showLastColumn="1" showRowStripes="1"/>
</table>
</file>

<file path=xl/theme/theme1.xml><?xml version="1.0" encoding="utf-8"?>
<a:theme xmlns:a="http://schemas.openxmlformats.org/drawingml/2006/main" xmlns:r="http://schemas.openxmlformats.org/officeDocument/2006/relationships" name="Sheets">
  <a:themeElements>
    <a:clrScheme name="Sheets">
      <a:dk1>
        <a:srgbClr val="071924"/>
      </a:dk1>
      <a:lt1>
        <a:srgbClr val="FFFFFF"/>
      </a:lt1>
      <a:dk2>
        <a:srgbClr val="071924"/>
      </a:dk2>
      <a:lt2>
        <a:srgbClr val="FFFFFF"/>
      </a:lt2>
      <a:accent1>
        <a:srgbClr val="002F4A"/>
      </a:accent1>
      <a:accent2>
        <a:srgbClr val="B85741"/>
      </a:accent2>
      <a:accent3>
        <a:srgbClr val="AD8463"/>
      </a:accent3>
      <a:accent4>
        <a:srgbClr val="009384"/>
      </a:accent4>
      <a:accent5>
        <a:srgbClr val="EDDAC9"/>
      </a:accent5>
      <a:accent6>
        <a:srgbClr val="6FC8D6"/>
      </a:accent6>
      <a:hlink>
        <a:srgbClr val="009384"/>
      </a:hlink>
      <a:folHlink>
        <a:srgbClr val="009384"/>
      </a:folHlink>
    </a:clrScheme>
    <a:fontScheme name="Sheets">
      <a:majorFont>
        <a:latin typeface="Georgia"/>
        <a:ea typeface="Georgia"/>
        <a:cs typeface="Georgia"/>
      </a:majorFont>
      <a:minorFont>
        <a:latin typeface="Georgia"/>
        <a:ea typeface="Georgia"/>
        <a:cs typeface="Georgi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3"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3"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 Id="rId3"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 Id="rId3"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 Id="rId9" Type="http://schemas.openxmlformats.org/officeDocument/2006/relationships/table" Target="../tables/table8.xml"/><Relationship Id="rId6" Type="http://schemas.openxmlformats.org/officeDocument/2006/relationships/table" Target="../tables/table5.xml"/><Relationship Id="rId7" Type="http://schemas.openxmlformats.org/officeDocument/2006/relationships/table" Target="../tables/table6.xml"/><Relationship Id="rId8" Type="http://schemas.openxmlformats.org/officeDocument/2006/relationships/table" Target="../tables/table7.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 Id="rId3" Type="http://schemas.openxmlformats.org/officeDocument/2006/relationships/table" Target="../tables/table9.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 Id="rId4" Type="http://schemas.openxmlformats.org/officeDocument/2006/relationships/table" Target="../tables/table10.xml"/><Relationship Id="rId5" Type="http://schemas.openxmlformats.org/officeDocument/2006/relationships/table" Target="../tables/table11.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 Id="rId3" Type="http://schemas.openxmlformats.org/officeDocument/2006/relationships/table" Target="../tables/table12.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 Id="rId3" Type="http://schemas.openxmlformats.org/officeDocument/2006/relationships/table" Target="../tables/table13.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 Id="rId3" Type="http://schemas.openxmlformats.org/officeDocument/2006/relationships/table" Target="../tables/table14.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 Id="rId3" Type="http://schemas.openxmlformats.org/officeDocument/2006/relationships/table" Target="../tables/table15.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 Id="rId3" Type="http://schemas.openxmlformats.org/officeDocument/2006/relationships/table" Target="../tables/table16.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 Id="rId3" Type="http://schemas.openxmlformats.org/officeDocument/2006/relationships/table" Target="../tables/table17.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0.1" defaultRowHeight="15.0"/>
  <cols>
    <col customWidth="1" min="1" max="1" width="9.6"/>
    <col customWidth="1" min="2" max="2" width="16.0"/>
    <col customWidth="1" min="3" max="3" width="18.4"/>
    <col customWidth="1" min="4" max="4" width="21.6"/>
    <col customWidth="1" min="5" max="6" width="10.4"/>
    <col customWidth="1" min="7" max="7" width="16.0"/>
    <col customWidth="1" min="8" max="8" width="9.6"/>
    <col customWidth="1" min="9" max="9" width="19.2"/>
    <col customWidth="1" min="10" max="10" width="33.6"/>
    <col customWidth="1" min="11" max="13" width="19.2"/>
    <col customWidth="1" min="14" max="14" width="10.4"/>
    <col customWidth="1" min="15" max="16" width="11.2"/>
    <col customWidth="1" min="17" max="18" width="10.4"/>
    <col customWidth="1" min="19" max="35" width="9.6"/>
    <col customWidth="1" min="36" max="45" width="10.4"/>
    <col customWidth="1" min="46" max="56" width="11.2"/>
    <col customWidth="1" min="57" max="68" width="9.6"/>
    <col customWidth="1" min="69" max="70" width="33.6"/>
    <col customWidth="1" min="71" max="73" width="25.6"/>
    <col customWidth="1" min="74" max="75" width="12.8"/>
    <col customWidth="1" min="76" max="76" width="43.2"/>
  </cols>
  <sheetData>
    <row r="1" ht="27.75" customHeight="1">
      <c r="A1" s="1" t="s">
        <v>0</v>
      </c>
      <c r="BV1" s="1"/>
      <c r="BW1" s="1"/>
      <c r="BX1" s="1"/>
    </row>
    <row r="2" ht="39.75" customHeight="1">
      <c r="A2" s="2" t="s">
        <v>1</v>
      </c>
      <c r="BV2" s="3"/>
      <c r="BW2" s="3"/>
      <c r="BX2" s="3"/>
    </row>
    <row r="3">
      <c r="A3" s="4"/>
      <c r="B3" s="4"/>
      <c r="C3" s="4"/>
      <c r="D3" s="4"/>
      <c r="E3" s="4"/>
      <c r="F3" s="4"/>
      <c r="G3" s="4"/>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row>
    <row r="4" ht="37.5" customHeight="1">
      <c r="A4" s="5" t="s">
        <v>2</v>
      </c>
      <c r="B4" s="5" t="s">
        <v>3</v>
      </c>
      <c r="C4" s="5" t="s">
        <v>4</v>
      </c>
      <c r="D4" s="5" t="s">
        <v>5</v>
      </c>
      <c r="E4" s="5" t="s">
        <v>6</v>
      </c>
      <c r="F4" s="5" t="s">
        <v>7</v>
      </c>
      <c r="G4" s="5" t="s">
        <v>8</v>
      </c>
      <c r="H4" s="5" t="s">
        <v>9</v>
      </c>
      <c r="I4" s="5" t="s">
        <v>10</v>
      </c>
      <c r="J4" s="5" t="s">
        <v>11</v>
      </c>
      <c r="K4" s="5" t="s">
        <v>12</v>
      </c>
      <c r="L4" s="5" t="s">
        <v>13</v>
      </c>
      <c r="M4" s="5" t="s">
        <v>14</v>
      </c>
      <c r="N4" s="5" t="s">
        <v>15</v>
      </c>
      <c r="O4" s="5" t="s">
        <v>16</v>
      </c>
      <c r="P4" s="5" t="s">
        <v>17</v>
      </c>
      <c r="Q4" s="5" t="s">
        <v>18</v>
      </c>
      <c r="R4" s="5" t="s">
        <v>19</v>
      </c>
      <c r="S4" s="5" t="s">
        <v>20</v>
      </c>
      <c r="T4" s="5" t="s">
        <v>21</v>
      </c>
      <c r="U4" s="5" t="s">
        <v>22</v>
      </c>
      <c r="V4" s="5" t="s">
        <v>23</v>
      </c>
      <c r="W4" s="5" t="s">
        <v>24</v>
      </c>
      <c r="X4" s="5" t="s">
        <v>25</v>
      </c>
      <c r="Y4" s="5" t="s">
        <v>26</v>
      </c>
      <c r="Z4" s="5" t="s">
        <v>27</v>
      </c>
      <c r="AA4" s="5" t="s">
        <v>28</v>
      </c>
      <c r="AB4" s="5" t="s">
        <v>29</v>
      </c>
      <c r="AC4" s="5" t="s">
        <v>30</v>
      </c>
      <c r="AD4" s="5" t="s">
        <v>31</v>
      </c>
      <c r="AE4" s="5" t="s">
        <v>32</v>
      </c>
      <c r="AF4" s="5" t="s">
        <v>33</v>
      </c>
      <c r="AG4" s="5" t="s">
        <v>34</v>
      </c>
      <c r="AH4" s="5" t="s">
        <v>35</v>
      </c>
      <c r="AI4" s="5" t="s">
        <v>36</v>
      </c>
      <c r="AJ4" s="5" t="s">
        <v>37</v>
      </c>
      <c r="AK4" s="5" t="s">
        <v>38</v>
      </c>
      <c r="AL4" s="5" t="s">
        <v>39</v>
      </c>
      <c r="AM4" s="5" t="s">
        <v>40</v>
      </c>
      <c r="AN4" s="5" t="s">
        <v>41</v>
      </c>
      <c r="AO4" s="5" t="s">
        <v>42</v>
      </c>
      <c r="AP4" s="5" t="s">
        <v>43</v>
      </c>
      <c r="AQ4" s="5" t="s">
        <v>44</v>
      </c>
      <c r="AR4" s="5" t="s">
        <v>45</v>
      </c>
      <c r="AS4" s="5" t="s">
        <v>46</v>
      </c>
      <c r="AT4" s="5" t="s">
        <v>47</v>
      </c>
      <c r="AU4" s="5" t="s">
        <v>48</v>
      </c>
      <c r="AV4" s="5" t="s">
        <v>49</v>
      </c>
      <c r="AW4" s="5" t="s">
        <v>50</v>
      </c>
      <c r="AX4" s="5" t="s">
        <v>51</v>
      </c>
      <c r="AY4" s="5" t="s">
        <v>52</v>
      </c>
      <c r="AZ4" s="5" t="s">
        <v>53</v>
      </c>
      <c r="BA4" s="5" t="s">
        <v>54</v>
      </c>
      <c r="BB4" s="5" t="s">
        <v>55</v>
      </c>
      <c r="BC4" s="5" t="s">
        <v>56</v>
      </c>
      <c r="BD4" s="5" t="s">
        <v>57</v>
      </c>
      <c r="BE4" s="5" t="s">
        <v>58</v>
      </c>
      <c r="BF4" s="5" t="s">
        <v>59</v>
      </c>
      <c r="BG4" s="5" t="s">
        <v>60</v>
      </c>
      <c r="BH4" s="5" t="s">
        <v>61</v>
      </c>
      <c r="BI4" s="5" t="s">
        <v>62</v>
      </c>
      <c r="BJ4" s="5" t="s">
        <v>63</v>
      </c>
      <c r="BK4" s="5" t="s">
        <v>64</v>
      </c>
      <c r="BL4" s="5" t="s">
        <v>65</v>
      </c>
      <c r="BM4" s="5" t="s">
        <v>66</v>
      </c>
      <c r="BN4" s="5" t="s">
        <v>67</v>
      </c>
      <c r="BO4" s="5" t="s">
        <v>68</v>
      </c>
      <c r="BP4" s="5" t="s">
        <v>69</v>
      </c>
      <c r="BQ4" s="5" t="s">
        <v>70</v>
      </c>
      <c r="BR4" s="5" t="s">
        <v>71</v>
      </c>
      <c r="BS4" s="5" t="s">
        <v>72</v>
      </c>
      <c r="BT4" s="5" t="s">
        <v>73</v>
      </c>
      <c r="BU4" s="5" t="s">
        <v>74</v>
      </c>
      <c r="BV4" s="6" t="s">
        <v>75</v>
      </c>
      <c r="BW4" s="6" t="s">
        <v>76</v>
      </c>
      <c r="BX4" s="6" t="s">
        <v>77</v>
      </c>
    </row>
    <row r="5">
      <c r="A5" s="7" t="s">
        <v>78</v>
      </c>
      <c r="B5" s="7" t="s">
        <v>79</v>
      </c>
      <c r="C5" s="7" t="s">
        <v>80</v>
      </c>
      <c r="D5" s="7" t="s">
        <v>81</v>
      </c>
      <c r="E5" s="7" t="s">
        <v>82</v>
      </c>
      <c r="F5" s="7">
        <v>5.6</v>
      </c>
      <c r="G5" s="7" t="s">
        <v>83</v>
      </c>
      <c r="H5" s="8">
        <v>46212.0</v>
      </c>
      <c r="I5" s="7" t="s">
        <v>84</v>
      </c>
      <c r="J5" s="7" t="s">
        <v>85</v>
      </c>
      <c r="K5" s="7" t="s">
        <v>86</v>
      </c>
      <c r="L5" s="7" t="s">
        <v>87</v>
      </c>
      <c r="M5" s="7" t="s">
        <v>88</v>
      </c>
      <c r="N5" s="7" t="s">
        <v>89</v>
      </c>
      <c r="O5" s="7">
        <v>1050000.0</v>
      </c>
      <c r="P5" s="9">
        <v>128000.0</v>
      </c>
      <c r="Q5" s="9" t="s">
        <v>90</v>
      </c>
      <c r="R5" s="9"/>
      <c r="S5" s="9">
        <v>20.0</v>
      </c>
      <c r="T5" s="9"/>
      <c r="U5" s="9">
        <v>5.0</v>
      </c>
      <c r="V5" s="9">
        <v>15.0</v>
      </c>
      <c r="W5" s="9">
        <v>90.0</v>
      </c>
      <c r="X5" s="9"/>
      <c r="Y5" s="9"/>
      <c r="Z5" s="9">
        <v>5.0</v>
      </c>
      <c r="AA5" s="9">
        <v>0.5</v>
      </c>
      <c r="AB5" s="9">
        <v>6.25</v>
      </c>
      <c r="AC5" s="9">
        <v>30.0</v>
      </c>
      <c r="AD5" s="9">
        <v>10.0</v>
      </c>
      <c r="AE5" s="9">
        <v>1.0</v>
      </c>
      <c r="AF5" s="9">
        <v>12.5</v>
      </c>
      <c r="AG5" s="9">
        <v>45.0</v>
      </c>
      <c r="AH5" s="9"/>
      <c r="AI5" s="9">
        <v>1.0</v>
      </c>
      <c r="AJ5" s="9">
        <v>64.6</v>
      </c>
      <c r="AK5" s="9">
        <v>88.8</v>
      </c>
      <c r="AL5" s="9"/>
      <c r="AM5" s="9">
        <v>80.0</v>
      </c>
      <c r="AN5" s="9"/>
      <c r="AO5" s="9">
        <v>58.0</v>
      </c>
      <c r="AP5" s="9"/>
      <c r="AQ5" s="9">
        <v>62.6</v>
      </c>
      <c r="AR5" s="9">
        <v>94.6</v>
      </c>
      <c r="AS5" s="9">
        <v>73.8</v>
      </c>
      <c r="AT5" s="9">
        <v>98.0</v>
      </c>
      <c r="AU5" s="9">
        <v>100.0</v>
      </c>
      <c r="AV5" s="9">
        <v>100.0</v>
      </c>
      <c r="AW5" s="9">
        <v>100.0</v>
      </c>
      <c r="AX5" s="9">
        <v>98.0</v>
      </c>
      <c r="AY5" s="9">
        <v>55.0</v>
      </c>
      <c r="AZ5" s="9">
        <v>35.0</v>
      </c>
      <c r="BA5" s="9">
        <v>100.0</v>
      </c>
      <c r="BB5" s="9">
        <v>95.0</v>
      </c>
      <c r="BC5" s="9">
        <f t="shared" ref="BC5:BC29" si="1">IF(BV5="Yes",ROUND(AU5*0.35+AV5*0.2+AW5*0.2+AX5*0.15+BA5*0.05+BB5*0.05,2),"")</f>
        <v>99.45</v>
      </c>
      <c r="BD5" s="10">
        <v>2.0</v>
      </c>
      <c r="BE5" s="10">
        <f t="shared" ref="BE5:BE29" si="2">IF(BW5="Yes",ROUND(AU5*0.25+AV5*0.15+AW5*0.15+AX5*0.1+AY5*0.1+AZ5*0.15+BA5*0.05+BB5*0.05,2),"")</f>
        <v>85.3</v>
      </c>
      <c r="BF5" s="10">
        <v>13.0</v>
      </c>
      <c r="BG5" s="10">
        <f t="shared" ref="BG5:BG29" si="3">IF(BW5="Yes",ROUND(BC5*0.55+AZ5*0.25+AY5*0.15+BB5*0.05,2),"")</f>
        <v>76.45</v>
      </c>
      <c r="BH5" s="10">
        <v>23.0</v>
      </c>
      <c r="BI5" s="10">
        <v>2.0</v>
      </c>
      <c r="BJ5" s="10">
        <v>3.0</v>
      </c>
      <c r="BK5" s="10">
        <v>8.0</v>
      </c>
      <c r="BL5" s="10">
        <v>2.0</v>
      </c>
      <c r="BM5" s="10">
        <v>2.0</v>
      </c>
      <c r="BN5" s="10">
        <v>44.0</v>
      </c>
      <c r="BO5" s="9" t="s">
        <v>91</v>
      </c>
      <c r="BP5" s="9" t="s">
        <v>92</v>
      </c>
      <c r="BQ5" s="7" t="s">
        <v>93</v>
      </c>
      <c r="BR5" s="7" t="s">
        <v>94</v>
      </c>
      <c r="BS5" s="7" t="s">
        <v>95</v>
      </c>
      <c r="BT5" s="8">
        <v>46213.0</v>
      </c>
      <c r="BU5" s="7" t="s">
        <v>96</v>
      </c>
      <c r="BV5" s="11" t="s">
        <v>86</v>
      </c>
      <c r="BW5" s="11" t="s">
        <v>86</v>
      </c>
      <c r="BX5" s="11" t="s">
        <v>97</v>
      </c>
    </row>
    <row r="6">
      <c r="A6" s="7" t="s">
        <v>78</v>
      </c>
      <c r="B6" s="7" t="s">
        <v>79</v>
      </c>
      <c r="C6" s="7" t="s">
        <v>98</v>
      </c>
      <c r="D6" s="7" t="s">
        <v>99</v>
      </c>
      <c r="E6" s="7" t="s">
        <v>82</v>
      </c>
      <c r="F6" s="7">
        <v>5.6</v>
      </c>
      <c r="G6" s="7" t="s">
        <v>100</v>
      </c>
      <c r="H6" s="8">
        <v>46212.0</v>
      </c>
      <c r="I6" s="7" t="s">
        <v>84</v>
      </c>
      <c r="J6" s="7" t="s">
        <v>101</v>
      </c>
      <c r="K6" s="7" t="s">
        <v>86</v>
      </c>
      <c r="L6" s="7" t="s">
        <v>87</v>
      </c>
      <c r="M6" s="7" t="s">
        <v>88</v>
      </c>
      <c r="N6" s="7" t="s">
        <v>89</v>
      </c>
      <c r="O6" s="7">
        <v>1050000.0</v>
      </c>
      <c r="P6" s="9">
        <v>128000.0</v>
      </c>
      <c r="Q6" s="9" t="s">
        <v>102</v>
      </c>
      <c r="R6" s="9"/>
      <c r="S6" s="9">
        <v>20.0</v>
      </c>
      <c r="T6" s="9"/>
      <c r="U6" s="9">
        <v>5.0</v>
      </c>
      <c r="V6" s="9">
        <v>20.0</v>
      </c>
      <c r="W6" s="9">
        <v>110.0</v>
      </c>
      <c r="X6" s="9"/>
      <c r="Y6" s="9"/>
      <c r="Z6" s="9">
        <v>2.5</v>
      </c>
      <c r="AA6" s="9">
        <v>0.25</v>
      </c>
      <c r="AB6" s="9">
        <v>3.125</v>
      </c>
      <c r="AC6" s="9">
        <v>15.0</v>
      </c>
      <c r="AD6" s="9">
        <v>5.0</v>
      </c>
      <c r="AE6" s="9">
        <v>0.5</v>
      </c>
      <c r="AF6" s="9">
        <v>6.25</v>
      </c>
      <c r="AG6" s="9">
        <v>22.5</v>
      </c>
      <c r="AH6" s="9"/>
      <c r="AI6" s="9">
        <v>0.5</v>
      </c>
      <c r="AJ6" s="9">
        <v>63.4</v>
      </c>
      <c r="AK6" s="9">
        <v>87.4</v>
      </c>
      <c r="AL6" s="9"/>
      <c r="AM6" s="9">
        <v>77.4</v>
      </c>
      <c r="AN6" s="9"/>
      <c r="AO6" s="9">
        <v>53.1</v>
      </c>
      <c r="AP6" s="9"/>
      <c r="AQ6" s="9">
        <v>50.2</v>
      </c>
      <c r="AR6" s="9">
        <v>92.9</v>
      </c>
      <c r="AS6" s="9">
        <v>72.5</v>
      </c>
      <c r="AT6" s="9">
        <v>98.0</v>
      </c>
      <c r="AU6" s="9">
        <v>97.0</v>
      </c>
      <c r="AV6" s="9">
        <v>98.0</v>
      </c>
      <c r="AW6" s="9">
        <v>98.0</v>
      </c>
      <c r="AX6" s="9">
        <v>96.0</v>
      </c>
      <c r="AY6" s="9">
        <v>75.0</v>
      </c>
      <c r="AZ6" s="9">
        <v>50.0</v>
      </c>
      <c r="BA6" s="9">
        <v>100.0</v>
      </c>
      <c r="BB6" s="9">
        <v>95.0</v>
      </c>
      <c r="BC6" s="9">
        <f t="shared" si="1"/>
        <v>97.3</v>
      </c>
      <c r="BD6" s="10">
        <v>4.0</v>
      </c>
      <c r="BE6" s="10">
        <f t="shared" si="2"/>
        <v>88</v>
      </c>
      <c r="BF6" s="10">
        <v>9.0</v>
      </c>
      <c r="BG6" s="10">
        <f t="shared" si="3"/>
        <v>82.02</v>
      </c>
      <c r="BH6" s="10">
        <v>15.0</v>
      </c>
      <c r="BI6" s="10">
        <v>6.0</v>
      </c>
      <c r="BJ6" s="10">
        <v>2.0</v>
      </c>
      <c r="BK6" s="10">
        <v>6.0</v>
      </c>
      <c r="BL6" s="10">
        <v>4.0</v>
      </c>
      <c r="BM6" s="10">
        <v>4.0</v>
      </c>
      <c r="BN6" s="10">
        <v>35.0</v>
      </c>
      <c r="BO6" s="9" t="s">
        <v>103</v>
      </c>
      <c r="BP6" s="9" t="s">
        <v>104</v>
      </c>
      <c r="BQ6" s="7" t="s">
        <v>93</v>
      </c>
      <c r="BR6" s="7" t="s">
        <v>94</v>
      </c>
      <c r="BS6" s="7" t="s">
        <v>95</v>
      </c>
      <c r="BT6" s="8">
        <v>46213.0</v>
      </c>
      <c r="BU6" s="7" t="s">
        <v>96</v>
      </c>
      <c r="BV6" s="11" t="s">
        <v>86</v>
      </c>
      <c r="BW6" s="11" t="s">
        <v>86</v>
      </c>
      <c r="BX6" s="11" t="s">
        <v>97</v>
      </c>
    </row>
    <row r="7">
      <c r="A7" s="7" t="s">
        <v>78</v>
      </c>
      <c r="B7" s="7" t="s">
        <v>79</v>
      </c>
      <c r="C7" s="7" t="s">
        <v>105</v>
      </c>
      <c r="D7" s="7" t="s">
        <v>106</v>
      </c>
      <c r="E7" s="7" t="s">
        <v>82</v>
      </c>
      <c r="F7" s="7">
        <v>5.6</v>
      </c>
      <c r="G7" s="7" t="s">
        <v>107</v>
      </c>
      <c r="H7" s="8">
        <v>46212.0</v>
      </c>
      <c r="I7" s="7" t="s">
        <v>108</v>
      </c>
      <c r="J7" s="7" t="s">
        <v>109</v>
      </c>
      <c r="K7" s="7" t="s">
        <v>86</v>
      </c>
      <c r="L7" s="7" t="s">
        <v>87</v>
      </c>
      <c r="M7" s="7" t="s">
        <v>88</v>
      </c>
      <c r="N7" s="7" t="s">
        <v>89</v>
      </c>
      <c r="O7" s="7">
        <v>1050000.0</v>
      </c>
      <c r="P7" s="9">
        <v>128000.0</v>
      </c>
      <c r="Q7" s="9" t="s">
        <v>110</v>
      </c>
      <c r="R7" s="9"/>
      <c r="S7" s="9">
        <v>20.0</v>
      </c>
      <c r="T7" s="9"/>
      <c r="U7" s="9">
        <v>5.0</v>
      </c>
      <c r="V7" s="9">
        <v>50.0</v>
      </c>
      <c r="W7" s="9">
        <v>280.0</v>
      </c>
      <c r="X7" s="9"/>
      <c r="Y7" s="9"/>
      <c r="Z7" s="9">
        <v>1.0</v>
      </c>
      <c r="AA7" s="9">
        <v>0.1</v>
      </c>
      <c r="AB7" s="9">
        <v>1.25</v>
      </c>
      <c r="AC7" s="9">
        <v>6.0</v>
      </c>
      <c r="AD7" s="9">
        <v>2.0</v>
      </c>
      <c r="AE7" s="9">
        <v>0.2</v>
      </c>
      <c r="AF7" s="9">
        <v>2.5</v>
      </c>
      <c r="AG7" s="9">
        <v>9.0</v>
      </c>
      <c r="AH7" s="9"/>
      <c r="AI7" s="9">
        <v>0.2</v>
      </c>
      <c r="AJ7" s="9">
        <v>62.7</v>
      </c>
      <c r="AK7" s="9">
        <v>84.7</v>
      </c>
      <c r="AL7" s="9"/>
      <c r="AM7" s="9">
        <v>74.6</v>
      </c>
      <c r="AN7" s="9"/>
      <c r="AO7" s="9">
        <v>53.4</v>
      </c>
      <c r="AP7" s="9"/>
      <c r="AQ7" s="9">
        <v>45.6</v>
      </c>
      <c r="AR7" s="9">
        <v>92.3</v>
      </c>
      <c r="AS7" s="9">
        <v>41.3</v>
      </c>
      <c r="AT7" s="9">
        <v>98.0</v>
      </c>
      <c r="AU7" s="9">
        <v>94.0</v>
      </c>
      <c r="AV7" s="9">
        <v>94.0</v>
      </c>
      <c r="AW7" s="9">
        <v>97.0</v>
      </c>
      <c r="AX7" s="9">
        <v>65.0</v>
      </c>
      <c r="AY7" s="9">
        <v>95.0</v>
      </c>
      <c r="AZ7" s="9">
        <v>75.0</v>
      </c>
      <c r="BA7" s="9">
        <v>100.0</v>
      </c>
      <c r="BB7" s="9">
        <v>95.0</v>
      </c>
      <c r="BC7" s="9">
        <f t="shared" si="1"/>
        <v>90.6</v>
      </c>
      <c r="BD7" s="10">
        <v>15.0</v>
      </c>
      <c r="BE7" s="10">
        <f t="shared" si="2"/>
        <v>89.15</v>
      </c>
      <c r="BF7" s="10">
        <v>5.0</v>
      </c>
      <c r="BG7" s="10">
        <f t="shared" si="3"/>
        <v>87.58</v>
      </c>
      <c r="BH7" s="10">
        <v>6.0</v>
      </c>
      <c r="BI7" s="10">
        <v>48.0</v>
      </c>
      <c r="BJ7" s="10">
        <v>4.0</v>
      </c>
      <c r="BK7" s="10">
        <v>3.0</v>
      </c>
      <c r="BL7" s="10">
        <v>22.0</v>
      </c>
      <c r="BM7" s="10">
        <v>14.0</v>
      </c>
      <c r="BN7" s="10">
        <v>15.0</v>
      </c>
      <c r="BO7" s="9" t="s">
        <v>111</v>
      </c>
      <c r="BP7" s="9" t="s">
        <v>112</v>
      </c>
      <c r="BQ7" s="7" t="s">
        <v>93</v>
      </c>
      <c r="BR7" s="7" t="s">
        <v>94</v>
      </c>
      <c r="BS7" s="7" t="s">
        <v>95</v>
      </c>
      <c r="BT7" s="8">
        <v>46213.0</v>
      </c>
      <c r="BU7" s="7" t="s">
        <v>96</v>
      </c>
      <c r="BV7" s="11" t="s">
        <v>86</v>
      </c>
      <c r="BW7" s="11" t="s">
        <v>86</v>
      </c>
      <c r="BX7" s="11" t="s">
        <v>97</v>
      </c>
    </row>
    <row r="8">
      <c r="A8" s="7" t="s">
        <v>113</v>
      </c>
      <c r="B8" s="7" t="s">
        <v>114</v>
      </c>
      <c r="C8" s="7" t="s">
        <v>115</v>
      </c>
      <c r="D8" s="7" t="s">
        <v>116</v>
      </c>
      <c r="E8" s="7" t="s">
        <v>117</v>
      </c>
      <c r="F8" s="7">
        <v>5.2</v>
      </c>
      <c r="G8" s="7" t="s">
        <v>118</v>
      </c>
      <c r="H8" s="8">
        <v>46189.0</v>
      </c>
      <c r="I8" s="7" t="s">
        <v>119</v>
      </c>
      <c r="J8" s="7" t="s">
        <v>120</v>
      </c>
      <c r="K8" s="7" t="s">
        <v>121</v>
      </c>
      <c r="L8" s="7" t="s">
        <v>86</v>
      </c>
      <c r="M8" s="7" t="s">
        <v>122</v>
      </c>
      <c r="N8" s="7" t="s">
        <v>123</v>
      </c>
      <c r="O8" s="7">
        <v>1000000.0</v>
      </c>
      <c r="P8" s="9">
        <v>131000.0</v>
      </c>
      <c r="Q8" s="9" t="s">
        <v>124</v>
      </c>
      <c r="R8" s="9"/>
      <c r="S8" s="9">
        <v>10.0</v>
      </c>
      <c r="T8" s="9">
        <v>5.0</v>
      </c>
      <c r="U8" s="9">
        <v>5.0</v>
      </c>
      <c r="V8" s="9">
        <v>880.0</v>
      </c>
      <c r="W8" s="9">
        <v>880.0</v>
      </c>
      <c r="X8" s="9">
        <v>2150.0</v>
      </c>
      <c r="Y8" s="9">
        <v>4300.0</v>
      </c>
      <c r="Z8" s="9">
        <v>1.4</v>
      </c>
      <c r="AA8" s="9">
        <v>0.26</v>
      </c>
      <c r="AB8" s="9"/>
      <c r="AC8" s="9">
        <v>4.4</v>
      </c>
      <c r="AD8" s="9"/>
      <c r="AE8" s="9"/>
      <c r="AF8" s="9"/>
      <c r="AG8" s="9"/>
      <c r="AH8" s="9">
        <v>0.013636363636363636</v>
      </c>
      <c r="AI8" s="9">
        <v>35.96590909090909</v>
      </c>
      <c r="AJ8" s="9">
        <v>62.1</v>
      </c>
      <c r="AK8" s="9">
        <v>81.0</v>
      </c>
      <c r="AL8" s="9"/>
      <c r="AM8" s="9"/>
      <c r="AN8" s="9"/>
      <c r="AO8" s="9"/>
      <c r="AP8" s="9"/>
      <c r="AQ8" s="9"/>
      <c r="AR8" s="9"/>
      <c r="AS8" s="9"/>
      <c r="AT8" s="9">
        <v>88.0</v>
      </c>
      <c r="AU8" s="9">
        <v>94.0</v>
      </c>
      <c r="AV8" s="9">
        <v>94.0</v>
      </c>
      <c r="AW8" s="9">
        <v>96.0</v>
      </c>
      <c r="AX8" s="9">
        <v>100.0</v>
      </c>
      <c r="AY8" s="9">
        <v>55.0</v>
      </c>
      <c r="AZ8" s="9">
        <v>40.0</v>
      </c>
      <c r="BA8" s="9">
        <v>50.0</v>
      </c>
      <c r="BB8" s="9">
        <v>82.0</v>
      </c>
      <c r="BC8" s="9">
        <f t="shared" si="1"/>
        <v>92.5</v>
      </c>
      <c r="BD8" s="10">
        <v>11.0</v>
      </c>
      <c r="BE8" s="10">
        <f t="shared" si="2"/>
        <v>80.1</v>
      </c>
      <c r="BF8" s="10">
        <v>25.0</v>
      </c>
      <c r="BG8" s="10">
        <f t="shared" si="3"/>
        <v>73.23</v>
      </c>
      <c r="BH8" s="10">
        <v>27.0</v>
      </c>
      <c r="BI8" s="10">
        <v>5.0</v>
      </c>
      <c r="BJ8" s="10">
        <v>14.0</v>
      </c>
      <c r="BK8" s="10">
        <v>41.0</v>
      </c>
      <c r="BL8" s="10">
        <v>8.0</v>
      </c>
      <c r="BM8" s="10">
        <v>10.0</v>
      </c>
      <c r="BN8" s="10">
        <v>47.0</v>
      </c>
      <c r="BO8" s="9" t="s">
        <v>125</v>
      </c>
      <c r="BP8" s="9" t="s">
        <v>126</v>
      </c>
      <c r="BQ8" s="7" t="s">
        <v>127</v>
      </c>
      <c r="BR8" s="7" t="s">
        <v>127</v>
      </c>
      <c r="BS8" s="7" t="s">
        <v>128</v>
      </c>
      <c r="BT8" s="8">
        <v>46213.0</v>
      </c>
      <c r="BU8" s="7" t="s">
        <v>96</v>
      </c>
      <c r="BV8" s="11" t="s">
        <v>86</v>
      </c>
      <c r="BW8" s="11" t="s">
        <v>86</v>
      </c>
      <c r="BX8" s="11" t="s">
        <v>97</v>
      </c>
    </row>
    <row r="9">
      <c r="A9" s="7" t="s">
        <v>113</v>
      </c>
      <c r="B9" s="7" t="s">
        <v>114</v>
      </c>
      <c r="C9" s="7" t="s">
        <v>129</v>
      </c>
      <c r="D9" s="7" t="s">
        <v>130</v>
      </c>
      <c r="E9" s="7" t="s">
        <v>117</v>
      </c>
      <c r="F9" s="7">
        <v>5.1</v>
      </c>
      <c r="G9" s="7" t="s">
        <v>131</v>
      </c>
      <c r="H9" s="8">
        <v>46143.0</v>
      </c>
      <c r="I9" s="7" t="s">
        <v>119</v>
      </c>
      <c r="J9" s="7" t="s">
        <v>132</v>
      </c>
      <c r="K9" s="7" t="s">
        <v>121</v>
      </c>
      <c r="L9" s="7" t="s">
        <v>86</v>
      </c>
      <c r="M9" s="7" t="s">
        <v>122</v>
      </c>
      <c r="N9" s="7" t="s">
        <v>123</v>
      </c>
      <c r="O9" s="7">
        <v>200000.0</v>
      </c>
      <c r="P9" s="9">
        <v>131000.0</v>
      </c>
      <c r="Q9" s="9" t="s">
        <v>90</v>
      </c>
      <c r="R9" s="9"/>
      <c r="S9" s="9">
        <v>10.0</v>
      </c>
      <c r="T9" s="9">
        <v>5.0</v>
      </c>
      <c r="U9" s="9">
        <v>5.0</v>
      </c>
      <c r="V9" s="9">
        <v>880.0</v>
      </c>
      <c r="W9" s="9">
        <v>880.0</v>
      </c>
      <c r="X9" s="9">
        <v>2150.0</v>
      </c>
      <c r="Y9" s="9">
        <v>4300.0</v>
      </c>
      <c r="Z9" s="9">
        <v>1.4</v>
      </c>
      <c r="AA9" s="9">
        <v>0.26</v>
      </c>
      <c r="AB9" s="9"/>
      <c r="AC9" s="9">
        <v>4.4</v>
      </c>
      <c r="AD9" s="9"/>
      <c r="AE9" s="9"/>
      <c r="AF9" s="9"/>
      <c r="AG9" s="9"/>
      <c r="AH9" s="9">
        <v>0.013636363636363636</v>
      </c>
      <c r="AI9" s="9">
        <v>35.96590909090909</v>
      </c>
      <c r="AJ9" s="9">
        <v>58.4</v>
      </c>
      <c r="AK9" s="9">
        <v>63.5</v>
      </c>
      <c r="AL9" s="9"/>
      <c r="AM9" s="9"/>
      <c r="AN9" s="9"/>
      <c r="AO9" s="9"/>
      <c r="AP9" s="9"/>
      <c r="AQ9" s="9"/>
      <c r="AR9" s="9"/>
      <c r="AS9" s="9"/>
      <c r="AT9" s="9">
        <v>82.0</v>
      </c>
      <c r="AU9" s="9">
        <v>87.0</v>
      </c>
      <c r="AV9" s="9">
        <v>78.0</v>
      </c>
      <c r="AW9" s="9">
        <v>90.0</v>
      </c>
      <c r="AX9" s="9">
        <v>70.0</v>
      </c>
      <c r="AY9" s="9">
        <v>60.0</v>
      </c>
      <c r="AZ9" s="9">
        <v>40.0</v>
      </c>
      <c r="BA9" s="9">
        <v>50.0</v>
      </c>
      <c r="BB9" s="9">
        <v>82.0</v>
      </c>
      <c r="BC9" s="9">
        <f t="shared" si="1"/>
        <v>81.15</v>
      </c>
      <c r="BD9" s="10">
        <v>29.0</v>
      </c>
      <c r="BE9" s="10">
        <f t="shared" si="2"/>
        <v>72.55</v>
      </c>
      <c r="BF9" s="10">
        <v>30.0</v>
      </c>
      <c r="BG9" s="10">
        <f t="shared" si="3"/>
        <v>67.73</v>
      </c>
      <c r="BH9" s="10">
        <v>30.0</v>
      </c>
      <c r="BI9" s="10">
        <v>49.0</v>
      </c>
      <c r="BJ9" s="10">
        <v>39.0</v>
      </c>
      <c r="BK9" s="10">
        <v>45.0</v>
      </c>
      <c r="BL9" s="10">
        <v>37.0</v>
      </c>
      <c r="BM9" s="10">
        <v>35.0</v>
      </c>
      <c r="BN9" s="10">
        <v>48.0</v>
      </c>
      <c r="BO9" s="9" t="s">
        <v>133</v>
      </c>
      <c r="BP9" s="9" t="s">
        <v>134</v>
      </c>
      <c r="BQ9" s="7" t="s">
        <v>127</v>
      </c>
      <c r="BR9" s="7" t="s">
        <v>127</v>
      </c>
      <c r="BS9" s="7" t="s">
        <v>128</v>
      </c>
      <c r="BT9" s="8">
        <v>46213.0</v>
      </c>
      <c r="BU9" s="7" t="s">
        <v>96</v>
      </c>
      <c r="BV9" s="11" t="s">
        <v>86</v>
      </c>
      <c r="BW9" s="11" t="s">
        <v>86</v>
      </c>
      <c r="BX9" s="11" t="s">
        <v>97</v>
      </c>
    </row>
    <row r="10">
      <c r="A10" s="7" t="s">
        <v>113</v>
      </c>
      <c r="B10" s="7" t="s">
        <v>114</v>
      </c>
      <c r="C10" s="7" t="s">
        <v>135</v>
      </c>
      <c r="D10" s="7" t="s">
        <v>136</v>
      </c>
      <c r="E10" s="7" t="s">
        <v>137</v>
      </c>
      <c r="F10" s="7" t="s">
        <v>138</v>
      </c>
      <c r="G10" s="7" t="s">
        <v>139</v>
      </c>
      <c r="H10" s="8">
        <v>46189.0</v>
      </c>
      <c r="I10" s="7" t="s">
        <v>140</v>
      </c>
      <c r="J10" s="7" t="s">
        <v>141</v>
      </c>
      <c r="K10" s="7" t="s">
        <v>86</v>
      </c>
      <c r="L10" s="7" t="s">
        <v>142</v>
      </c>
      <c r="M10" s="7" t="s">
        <v>143</v>
      </c>
      <c r="N10" s="7" t="s">
        <v>123</v>
      </c>
      <c r="O10" s="7">
        <v>262144.0</v>
      </c>
      <c r="P10" s="9"/>
      <c r="Q10" s="9" t="s">
        <v>102</v>
      </c>
      <c r="R10" s="9"/>
      <c r="S10" s="9">
        <v>10.0</v>
      </c>
      <c r="T10" s="9">
        <v>5.0</v>
      </c>
      <c r="U10" s="9">
        <v>5.0</v>
      </c>
      <c r="V10" s="9">
        <v>1350.0</v>
      </c>
      <c r="W10" s="9">
        <v>1350.0</v>
      </c>
      <c r="X10" s="9">
        <v>4630.0</v>
      </c>
      <c r="Y10" s="9">
        <v>9250.0</v>
      </c>
      <c r="Z10" s="9">
        <v>0.95</v>
      </c>
      <c r="AA10" s="9">
        <v>0.19</v>
      </c>
      <c r="AB10" s="9"/>
      <c r="AC10" s="9">
        <v>4.0</v>
      </c>
      <c r="AD10" s="9"/>
      <c r="AE10" s="9"/>
      <c r="AF10" s="9"/>
      <c r="AG10" s="9"/>
      <c r="AH10" s="9">
        <v>0.008888888888888889</v>
      </c>
      <c r="AI10" s="9">
        <v>23.444444444444446</v>
      </c>
      <c r="AJ10" s="9"/>
      <c r="AK10" s="9"/>
      <c r="AL10" s="9"/>
      <c r="AM10" s="9"/>
      <c r="AN10" s="9"/>
      <c r="AO10" s="9"/>
      <c r="AP10" s="9">
        <v>76.0</v>
      </c>
      <c r="AQ10" s="9"/>
      <c r="AR10" s="9"/>
      <c r="AS10" s="9"/>
      <c r="AT10" s="9">
        <v>84.0</v>
      </c>
      <c r="AU10" s="9">
        <v>92.0</v>
      </c>
      <c r="AV10" s="9">
        <v>92.0</v>
      </c>
      <c r="AW10" s="9">
        <v>94.0</v>
      </c>
      <c r="AX10" s="9">
        <v>75.0</v>
      </c>
      <c r="AY10" s="9">
        <v>70.0</v>
      </c>
      <c r="AZ10" s="9">
        <v>50.0</v>
      </c>
      <c r="BA10" s="9">
        <v>100.0</v>
      </c>
      <c r="BB10" s="9">
        <v>84.0</v>
      </c>
      <c r="BC10" s="9">
        <f t="shared" si="1"/>
        <v>89.85</v>
      </c>
      <c r="BD10" s="10">
        <v>19.0</v>
      </c>
      <c r="BE10" s="10">
        <f t="shared" si="2"/>
        <v>82.1</v>
      </c>
      <c r="BF10" s="10">
        <v>20.0</v>
      </c>
      <c r="BG10" s="10">
        <f t="shared" si="3"/>
        <v>76.62</v>
      </c>
      <c r="BH10" s="10">
        <v>21.0</v>
      </c>
      <c r="BI10" s="10">
        <v>43.0</v>
      </c>
      <c r="BJ10" s="10">
        <v>13.0</v>
      </c>
      <c r="BK10" s="10">
        <v>17.0</v>
      </c>
      <c r="BL10" s="10">
        <v>24.0</v>
      </c>
      <c r="BM10" s="10">
        <v>17.0</v>
      </c>
      <c r="BN10" s="10">
        <v>37.0</v>
      </c>
      <c r="BO10" s="9" t="s">
        <v>144</v>
      </c>
      <c r="BP10" s="9" t="s">
        <v>145</v>
      </c>
      <c r="BQ10" s="7" t="s">
        <v>127</v>
      </c>
      <c r="BR10" s="7" t="s">
        <v>127</v>
      </c>
      <c r="BS10" s="7" t="s">
        <v>146</v>
      </c>
      <c r="BT10" s="8">
        <v>46213.0</v>
      </c>
      <c r="BU10" s="7" t="s">
        <v>96</v>
      </c>
      <c r="BV10" s="11" t="s">
        <v>86</v>
      </c>
      <c r="BW10" s="11" t="s">
        <v>86</v>
      </c>
      <c r="BX10" s="11" t="s">
        <v>97</v>
      </c>
    </row>
    <row r="11">
      <c r="A11" s="7" t="s">
        <v>113</v>
      </c>
      <c r="B11" s="7" t="s">
        <v>114</v>
      </c>
      <c r="C11" s="7" t="s">
        <v>147</v>
      </c>
      <c r="D11" s="7" t="s">
        <v>148</v>
      </c>
      <c r="E11" s="7" t="s">
        <v>137</v>
      </c>
      <c r="F11" s="7">
        <v>2.6</v>
      </c>
      <c r="G11" s="7" t="s">
        <v>118</v>
      </c>
      <c r="H11" s="8">
        <v>46132.0</v>
      </c>
      <c r="I11" s="7" t="s">
        <v>149</v>
      </c>
      <c r="J11" s="7" t="s">
        <v>150</v>
      </c>
      <c r="K11" s="7" t="s">
        <v>86</v>
      </c>
      <c r="L11" s="7" t="s">
        <v>86</v>
      </c>
      <c r="M11" s="7" t="s">
        <v>151</v>
      </c>
      <c r="N11" s="7" t="s">
        <v>123</v>
      </c>
      <c r="O11" s="7">
        <v>262144.0</v>
      </c>
      <c r="P11" s="9"/>
      <c r="Q11" s="9" t="s">
        <v>152</v>
      </c>
      <c r="R11" s="9"/>
      <c r="S11" s="9">
        <v>10.0</v>
      </c>
      <c r="T11" s="9">
        <v>5.0</v>
      </c>
      <c r="U11" s="9">
        <v>5.0</v>
      </c>
      <c r="V11" s="9">
        <v>1150.0</v>
      </c>
      <c r="W11" s="9">
        <v>1150.0</v>
      </c>
      <c r="X11" s="9">
        <v>2880.0</v>
      </c>
      <c r="Y11" s="9">
        <v>5750.0</v>
      </c>
      <c r="Z11" s="9">
        <v>0.95</v>
      </c>
      <c r="AA11" s="9">
        <v>0.16</v>
      </c>
      <c r="AB11" s="9"/>
      <c r="AC11" s="9">
        <v>4.0</v>
      </c>
      <c r="AD11" s="9"/>
      <c r="AE11" s="9"/>
      <c r="AF11" s="9"/>
      <c r="AG11" s="9"/>
      <c r="AH11" s="9">
        <v>0.010434782608695653</v>
      </c>
      <c r="AI11" s="9">
        <v>27.521739130434785</v>
      </c>
      <c r="AJ11" s="9">
        <v>58.6</v>
      </c>
      <c r="AK11" s="9"/>
      <c r="AL11" s="9">
        <v>66.7</v>
      </c>
      <c r="AM11" s="9"/>
      <c r="AN11" s="9">
        <v>80.2</v>
      </c>
      <c r="AO11" s="9">
        <v>50.0</v>
      </c>
      <c r="AP11" s="9"/>
      <c r="AQ11" s="9">
        <v>73.1</v>
      </c>
      <c r="AR11" s="9">
        <v>90.5</v>
      </c>
      <c r="AS11" s="9"/>
      <c r="AT11" s="9">
        <v>92.0</v>
      </c>
      <c r="AU11" s="9">
        <v>89.0</v>
      </c>
      <c r="AV11" s="9">
        <v>88.0</v>
      </c>
      <c r="AW11" s="9">
        <v>91.0</v>
      </c>
      <c r="AX11" s="9">
        <v>75.0</v>
      </c>
      <c r="AY11" s="9">
        <v>65.0</v>
      </c>
      <c r="AZ11" s="9">
        <v>47.0</v>
      </c>
      <c r="BA11" s="9">
        <v>100.0</v>
      </c>
      <c r="BB11" s="9">
        <v>84.0</v>
      </c>
      <c r="BC11" s="9">
        <f t="shared" si="1"/>
        <v>87.4</v>
      </c>
      <c r="BD11" s="10">
        <v>23.0</v>
      </c>
      <c r="BE11" s="10">
        <f t="shared" si="2"/>
        <v>79.35</v>
      </c>
      <c r="BF11" s="10">
        <v>27.0</v>
      </c>
      <c r="BG11" s="10">
        <f t="shared" si="3"/>
        <v>73.77</v>
      </c>
      <c r="BH11" s="10">
        <v>26.0</v>
      </c>
      <c r="BI11" s="10">
        <v>44.0</v>
      </c>
      <c r="BJ11" s="10">
        <v>27.0</v>
      </c>
      <c r="BK11" s="10">
        <v>25.0</v>
      </c>
      <c r="BL11" s="10">
        <v>31.0</v>
      </c>
      <c r="BM11" s="10">
        <v>29.0</v>
      </c>
      <c r="BN11" s="10">
        <v>41.0</v>
      </c>
      <c r="BO11" s="9" t="s">
        <v>153</v>
      </c>
      <c r="BP11" s="9" t="s">
        <v>154</v>
      </c>
      <c r="BQ11" s="7" t="s">
        <v>127</v>
      </c>
      <c r="BR11" s="7" t="s">
        <v>127</v>
      </c>
      <c r="BS11" s="7" t="s">
        <v>155</v>
      </c>
      <c r="BT11" s="8">
        <v>46213.0</v>
      </c>
      <c r="BU11" s="7" t="s">
        <v>96</v>
      </c>
      <c r="BV11" s="11" t="s">
        <v>86</v>
      </c>
      <c r="BW11" s="11" t="s">
        <v>86</v>
      </c>
      <c r="BX11" s="11" t="s">
        <v>97</v>
      </c>
    </row>
    <row r="12">
      <c r="A12" s="7" t="s">
        <v>113</v>
      </c>
      <c r="B12" s="7" t="s">
        <v>114</v>
      </c>
      <c r="C12" s="7" t="s">
        <v>156</v>
      </c>
      <c r="D12" s="7" t="s">
        <v>157</v>
      </c>
      <c r="E12" s="7" t="s">
        <v>158</v>
      </c>
      <c r="F12" s="7" t="s">
        <v>159</v>
      </c>
      <c r="G12" s="7" t="s">
        <v>107</v>
      </c>
      <c r="H12" s="8">
        <v>46134.0</v>
      </c>
      <c r="I12" s="7" t="s">
        <v>160</v>
      </c>
      <c r="J12" s="7" t="s">
        <v>161</v>
      </c>
      <c r="K12" s="7" t="s">
        <v>162</v>
      </c>
      <c r="L12" s="7" t="s">
        <v>86</v>
      </c>
      <c r="M12" s="7" t="s">
        <v>163</v>
      </c>
      <c r="N12" s="7" t="s">
        <v>123</v>
      </c>
      <c r="O12" s="7">
        <v>1000000.0</v>
      </c>
      <c r="P12" s="9"/>
      <c r="Q12" s="9" t="s">
        <v>110</v>
      </c>
      <c r="R12" s="9"/>
      <c r="S12" s="9">
        <v>10.0</v>
      </c>
      <c r="T12" s="9">
        <v>5.0</v>
      </c>
      <c r="U12" s="9">
        <v>5.0</v>
      </c>
      <c r="V12" s="9">
        <v>30100.0</v>
      </c>
      <c r="W12" s="9">
        <v>30100.0</v>
      </c>
      <c r="X12" s="9">
        <v>75200.0</v>
      </c>
      <c r="Y12" s="9">
        <v>150400.0</v>
      </c>
      <c r="Z12" s="9">
        <v>0.14</v>
      </c>
      <c r="AA12" s="9">
        <v>0.0028</v>
      </c>
      <c r="AB12" s="9"/>
      <c r="AC12" s="9">
        <v>0.28</v>
      </c>
      <c r="AD12" s="9"/>
      <c r="AE12" s="9"/>
      <c r="AF12" s="9"/>
      <c r="AG12" s="9"/>
      <c r="AH12" s="9">
        <v>3.9867109634551497E-4</v>
      </c>
      <c r="AI12" s="9">
        <v>1.0514950166112957</v>
      </c>
      <c r="AJ12" s="9">
        <v>55.0</v>
      </c>
      <c r="AK12" s="9"/>
      <c r="AL12" s="9">
        <v>57.1</v>
      </c>
      <c r="AM12" s="9"/>
      <c r="AN12" s="9">
        <v>78.0</v>
      </c>
      <c r="AO12" s="9"/>
      <c r="AP12" s="9"/>
      <c r="AQ12" s="9"/>
      <c r="AR12" s="9"/>
      <c r="AS12" s="9"/>
      <c r="AT12" s="9">
        <v>88.0</v>
      </c>
      <c r="AU12" s="9">
        <v>84.0</v>
      </c>
      <c r="AV12" s="9">
        <v>80.0</v>
      </c>
      <c r="AW12" s="9">
        <v>85.0</v>
      </c>
      <c r="AX12" s="9">
        <v>88.0</v>
      </c>
      <c r="AY12" s="9">
        <v>95.0</v>
      </c>
      <c r="AZ12" s="9">
        <v>100.0</v>
      </c>
      <c r="BA12" s="9">
        <v>100.0</v>
      </c>
      <c r="BB12" s="9">
        <v>80.0</v>
      </c>
      <c r="BC12" s="9">
        <f t="shared" si="1"/>
        <v>84.6</v>
      </c>
      <c r="BD12" s="10">
        <v>27.0</v>
      </c>
      <c r="BE12" s="10">
        <f t="shared" si="2"/>
        <v>88.05</v>
      </c>
      <c r="BF12" s="10">
        <v>8.0</v>
      </c>
      <c r="BG12" s="10">
        <f t="shared" si="3"/>
        <v>89.78</v>
      </c>
      <c r="BH12" s="10">
        <v>3.0</v>
      </c>
      <c r="BI12" s="10">
        <v>35.0</v>
      </c>
      <c r="BJ12" s="10">
        <v>35.0</v>
      </c>
      <c r="BK12" s="10">
        <v>21.0</v>
      </c>
      <c r="BL12" s="10">
        <v>35.0</v>
      </c>
      <c r="BM12" s="10">
        <v>36.0</v>
      </c>
      <c r="BN12" s="10">
        <v>3.0</v>
      </c>
      <c r="BO12" s="9" t="s">
        <v>164</v>
      </c>
      <c r="BP12" s="9" t="s">
        <v>165</v>
      </c>
      <c r="BQ12" s="7" t="s">
        <v>127</v>
      </c>
      <c r="BR12" s="7" t="s">
        <v>127</v>
      </c>
      <c r="BS12" s="7" t="s">
        <v>166</v>
      </c>
      <c r="BT12" s="8">
        <v>46213.0</v>
      </c>
      <c r="BU12" s="7" t="s">
        <v>96</v>
      </c>
      <c r="BV12" s="11" t="s">
        <v>86</v>
      </c>
      <c r="BW12" s="11" t="s">
        <v>86</v>
      </c>
      <c r="BX12" s="11" t="s">
        <v>97</v>
      </c>
    </row>
    <row r="13">
      <c r="A13" s="7" t="s">
        <v>113</v>
      </c>
      <c r="B13" s="7" t="s">
        <v>114</v>
      </c>
      <c r="C13" s="7" t="s">
        <v>167</v>
      </c>
      <c r="D13" s="7" t="s">
        <v>168</v>
      </c>
      <c r="E13" s="7" t="s">
        <v>158</v>
      </c>
      <c r="F13" s="7" t="s">
        <v>169</v>
      </c>
      <c r="G13" s="7" t="s">
        <v>118</v>
      </c>
      <c r="H13" s="8">
        <v>46139.0</v>
      </c>
      <c r="I13" s="7" t="s">
        <v>170</v>
      </c>
      <c r="J13" s="7" t="s">
        <v>171</v>
      </c>
      <c r="K13" s="7" t="s">
        <v>162</v>
      </c>
      <c r="L13" s="7" t="s">
        <v>86</v>
      </c>
      <c r="M13" s="7" t="s">
        <v>163</v>
      </c>
      <c r="N13" s="7" t="s">
        <v>123</v>
      </c>
      <c r="O13" s="7">
        <v>1000000.0</v>
      </c>
      <c r="P13" s="9"/>
      <c r="Q13" s="9" t="s">
        <v>102</v>
      </c>
      <c r="R13" s="9"/>
      <c r="S13" s="9">
        <v>10.0</v>
      </c>
      <c r="T13" s="9">
        <v>5.0</v>
      </c>
      <c r="U13" s="9">
        <v>5.0</v>
      </c>
      <c r="V13" s="9">
        <v>3250.0</v>
      </c>
      <c r="W13" s="9">
        <v>3250.0</v>
      </c>
      <c r="X13" s="9">
        <v>8150.0</v>
      </c>
      <c r="Y13" s="9">
        <v>16300.0</v>
      </c>
      <c r="Z13" s="9">
        <v>1.74</v>
      </c>
      <c r="AA13" s="9">
        <v>0.0145</v>
      </c>
      <c r="AB13" s="9"/>
      <c r="AC13" s="9">
        <v>3.48</v>
      </c>
      <c r="AD13" s="9"/>
      <c r="AE13" s="9"/>
      <c r="AF13" s="9"/>
      <c r="AG13" s="9"/>
      <c r="AH13" s="9">
        <v>0.0036923076923076922</v>
      </c>
      <c r="AI13" s="9">
        <v>9.738461538461538</v>
      </c>
      <c r="AJ13" s="9">
        <v>57.2</v>
      </c>
      <c r="AK13" s="9"/>
      <c r="AL13" s="9">
        <v>68.4</v>
      </c>
      <c r="AM13" s="9"/>
      <c r="AN13" s="9">
        <v>78.9</v>
      </c>
      <c r="AO13" s="9"/>
      <c r="AP13" s="9"/>
      <c r="AQ13" s="9"/>
      <c r="AR13" s="9"/>
      <c r="AS13" s="9"/>
      <c r="AT13" s="9">
        <v>90.0</v>
      </c>
      <c r="AU13" s="9">
        <v>88.0</v>
      </c>
      <c r="AV13" s="9">
        <v>88.0</v>
      </c>
      <c r="AW13" s="9">
        <v>89.0</v>
      </c>
      <c r="AX13" s="9">
        <v>92.0</v>
      </c>
      <c r="AY13" s="9">
        <v>75.0</v>
      </c>
      <c r="AZ13" s="9">
        <v>75.0</v>
      </c>
      <c r="BA13" s="9">
        <v>100.0</v>
      </c>
      <c r="BB13" s="9">
        <v>80.0</v>
      </c>
      <c r="BC13" s="9">
        <f t="shared" si="1"/>
        <v>89</v>
      </c>
      <c r="BD13" s="10">
        <v>20.0</v>
      </c>
      <c r="BE13" s="10">
        <f t="shared" si="2"/>
        <v>85.5</v>
      </c>
      <c r="BF13" s="10">
        <v>12.0</v>
      </c>
      <c r="BG13" s="10">
        <f t="shared" si="3"/>
        <v>82.95</v>
      </c>
      <c r="BH13" s="10">
        <v>13.0</v>
      </c>
      <c r="BI13" s="10">
        <v>26.0</v>
      </c>
      <c r="BJ13" s="10">
        <v>28.0</v>
      </c>
      <c r="BK13" s="10">
        <v>24.0</v>
      </c>
      <c r="BL13" s="10">
        <v>25.0</v>
      </c>
      <c r="BM13" s="10">
        <v>26.0</v>
      </c>
      <c r="BN13" s="10">
        <v>30.0</v>
      </c>
      <c r="BO13" s="9" t="s">
        <v>172</v>
      </c>
      <c r="BP13" s="9" t="s">
        <v>173</v>
      </c>
      <c r="BQ13" s="7" t="s">
        <v>127</v>
      </c>
      <c r="BR13" s="7" t="s">
        <v>127</v>
      </c>
      <c r="BS13" s="7" t="s">
        <v>166</v>
      </c>
      <c r="BT13" s="8">
        <v>46213.0</v>
      </c>
      <c r="BU13" s="7" t="s">
        <v>96</v>
      </c>
      <c r="BV13" s="11" t="s">
        <v>86</v>
      </c>
      <c r="BW13" s="11" t="s">
        <v>86</v>
      </c>
      <c r="BX13" s="11" t="s">
        <v>97</v>
      </c>
    </row>
    <row r="14">
      <c r="A14" s="7" t="s">
        <v>113</v>
      </c>
      <c r="B14" s="7" t="s">
        <v>114</v>
      </c>
      <c r="C14" s="7" t="s">
        <v>174</v>
      </c>
      <c r="D14" s="7" t="s">
        <v>175</v>
      </c>
      <c r="E14" s="7" t="s">
        <v>176</v>
      </c>
      <c r="F14" s="7" t="s">
        <v>177</v>
      </c>
      <c r="G14" s="7" t="s">
        <v>118</v>
      </c>
      <c r="H14" s="8">
        <v>46174.0</v>
      </c>
      <c r="I14" s="7" t="s">
        <v>178</v>
      </c>
      <c r="J14" s="7" t="s">
        <v>179</v>
      </c>
      <c r="K14" s="7" t="s">
        <v>180</v>
      </c>
      <c r="L14" s="7" t="s">
        <v>86</v>
      </c>
      <c r="M14" s="7" t="s">
        <v>163</v>
      </c>
      <c r="N14" s="7" t="s">
        <v>123</v>
      </c>
      <c r="O14" s="7">
        <v>1000000.0</v>
      </c>
      <c r="P14" s="9"/>
      <c r="Q14" s="9" t="s">
        <v>102</v>
      </c>
      <c r="R14" s="9"/>
      <c r="S14" s="9">
        <v>10.0</v>
      </c>
      <c r="T14" s="9">
        <v>5.0</v>
      </c>
      <c r="U14" s="9">
        <v>5.0</v>
      </c>
      <c r="V14" s="9">
        <v>3200.0</v>
      </c>
      <c r="W14" s="9">
        <v>3200.0</v>
      </c>
      <c r="X14" s="9">
        <v>8000.0</v>
      </c>
      <c r="Y14" s="9">
        <v>16000.0</v>
      </c>
      <c r="Z14" s="9">
        <v>0.3</v>
      </c>
      <c r="AA14" s="9">
        <v>0.06</v>
      </c>
      <c r="AB14" s="9"/>
      <c r="AC14" s="9">
        <v>1.2</v>
      </c>
      <c r="AD14" s="9"/>
      <c r="AE14" s="9"/>
      <c r="AF14" s="9"/>
      <c r="AG14" s="9"/>
      <c r="AH14" s="9">
        <v>0.00375</v>
      </c>
      <c r="AI14" s="9">
        <v>9.890625</v>
      </c>
      <c r="AJ14" s="9">
        <v>59.0</v>
      </c>
      <c r="AK14" s="9">
        <v>66.0</v>
      </c>
      <c r="AL14" s="9"/>
      <c r="AM14" s="9"/>
      <c r="AN14" s="9"/>
      <c r="AO14" s="9"/>
      <c r="AP14" s="9">
        <v>74.2</v>
      </c>
      <c r="AQ14" s="9"/>
      <c r="AR14" s="9"/>
      <c r="AS14" s="9"/>
      <c r="AT14" s="9">
        <v>86.0</v>
      </c>
      <c r="AU14" s="9">
        <v>90.0</v>
      </c>
      <c r="AV14" s="9">
        <v>87.0</v>
      </c>
      <c r="AW14" s="9">
        <v>91.0</v>
      </c>
      <c r="AX14" s="9">
        <v>95.0</v>
      </c>
      <c r="AY14" s="9">
        <v>80.0</v>
      </c>
      <c r="AZ14" s="9">
        <v>75.0</v>
      </c>
      <c r="BA14" s="9">
        <v>100.0</v>
      </c>
      <c r="BB14" s="9">
        <v>82.0</v>
      </c>
      <c r="BC14" s="9">
        <f t="shared" si="1"/>
        <v>90.45</v>
      </c>
      <c r="BD14" s="10">
        <v>16.0</v>
      </c>
      <c r="BE14" s="10">
        <f t="shared" si="2"/>
        <v>87.05</v>
      </c>
      <c r="BF14" s="10">
        <v>10.0</v>
      </c>
      <c r="BG14" s="10">
        <f t="shared" si="3"/>
        <v>84.6</v>
      </c>
      <c r="BH14" s="10">
        <v>11.0</v>
      </c>
      <c r="BI14" s="10">
        <v>17.0</v>
      </c>
      <c r="BJ14" s="10">
        <v>24.0</v>
      </c>
      <c r="BK14" s="10">
        <v>19.0</v>
      </c>
      <c r="BL14" s="10">
        <v>18.0</v>
      </c>
      <c r="BM14" s="10">
        <v>21.0</v>
      </c>
      <c r="BN14" s="10">
        <v>25.0</v>
      </c>
      <c r="BO14" s="9" t="s">
        <v>181</v>
      </c>
      <c r="BP14" s="9" t="s">
        <v>182</v>
      </c>
      <c r="BQ14" s="7" t="s">
        <v>127</v>
      </c>
      <c r="BR14" s="7" t="s">
        <v>127</v>
      </c>
      <c r="BS14" s="7" t="s">
        <v>183</v>
      </c>
      <c r="BT14" s="8">
        <v>46213.0</v>
      </c>
      <c r="BU14" s="7" t="s">
        <v>96</v>
      </c>
      <c r="BV14" s="11" t="s">
        <v>86</v>
      </c>
      <c r="BW14" s="11" t="s">
        <v>86</v>
      </c>
      <c r="BX14" s="11" t="s">
        <v>97</v>
      </c>
    </row>
    <row r="15">
      <c r="A15" s="7" t="s">
        <v>113</v>
      </c>
      <c r="B15" s="7" t="s">
        <v>114</v>
      </c>
      <c r="C15" s="7" t="s">
        <v>184</v>
      </c>
      <c r="D15" s="7" t="s">
        <v>185</v>
      </c>
      <c r="E15" s="7" t="s">
        <v>176</v>
      </c>
      <c r="F15" s="7" t="s">
        <v>186</v>
      </c>
      <c r="G15" s="7" t="s">
        <v>131</v>
      </c>
      <c r="H15" s="8">
        <v>46124.0</v>
      </c>
      <c r="I15" s="7" t="s">
        <v>187</v>
      </c>
      <c r="J15" s="7" t="s">
        <v>188</v>
      </c>
      <c r="K15" s="7" t="s">
        <v>189</v>
      </c>
      <c r="L15" s="7" t="s">
        <v>86</v>
      </c>
      <c r="M15" s="7" t="s">
        <v>163</v>
      </c>
      <c r="N15" s="7" t="s">
        <v>123</v>
      </c>
      <c r="O15" s="7">
        <v>204800.0</v>
      </c>
      <c r="P15" s="9"/>
      <c r="Q15" s="9" t="s">
        <v>102</v>
      </c>
      <c r="R15" s="9"/>
      <c r="S15" s="9">
        <v>10.0</v>
      </c>
      <c r="T15" s="9">
        <v>5.0</v>
      </c>
      <c r="U15" s="9">
        <v>5.0</v>
      </c>
      <c r="V15" s="9">
        <v>3400.0</v>
      </c>
      <c r="W15" s="9">
        <v>3400.0</v>
      </c>
      <c r="X15" s="9">
        <v>8500.0</v>
      </c>
      <c r="Y15" s="9">
        <v>17000.0</v>
      </c>
      <c r="Z15" s="9">
        <v>0.3</v>
      </c>
      <c r="AA15" s="9">
        <v>0.06</v>
      </c>
      <c r="AB15" s="9">
        <v>0.375</v>
      </c>
      <c r="AC15" s="9">
        <v>1.2</v>
      </c>
      <c r="AD15" s="9"/>
      <c r="AE15" s="9"/>
      <c r="AF15" s="9"/>
      <c r="AG15" s="9"/>
      <c r="AH15" s="9">
        <v>0.0035294117647058825</v>
      </c>
      <c r="AI15" s="9">
        <v>9.308823529411764</v>
      </c>
      <c r="AJ15" s="9">
        <v>56.2</v>
      </c>
      <c r="AK15" s="9"/>
      <c r="AL15" s="9">
        <v>57.0</v>
      </c>
      <c r="AM15" s="9"/>
      <c r="AN15" s="9"/>
      <c r="AO15" s="9">
        <v>46.3</v>
      </c>
      <c r="AP15" s="9"/>
      <c r="AQ15" s="9"/>
      <c r="AR15" s="9">
        <v>89.8</v>
      </c>
      <c r="AS15" s="9"/>
      <c r="AT15" s="9">
        <v>90.0</v>
      </c>
      <c r="AU15" s="9">
        <v>83.0</v>
      </c>
      <c r="AV15" s="9">
        <v>78.0</v>
      </c>
      <c r="AW15" s="9">
        <v>87.0</v>
      </c>
      <c r="AX15" s="9">
        <v>65.0</v>
      </c>
      <c r="AY15" s="9">
        <v>82.0</v>
      </c>
      <c r="AZ15" s="9">
        <v>78.0</v>
      </c>
      <c r="BA15" s="9">
        <v>30.0</v>
      </c>
      <c r="BB15" s="9">
        <v>82.0</v>
      </c>
      <c r="BC15" s="9">
        <f t="shared" si="1"/>
        <v>77.4</v>
      </c>
      <c r="BD15" s="10">
        <v>32.0</v>
      </c>
      <c r="BE15" s="10">
        <f t="shared" si="2"/>
        <v>77.5</v>
      </c>
      <c r="BF15" s="10">
        <v>29.0</v>
      </c>
      <c r="BG15" s="10">
        <f t="shared" si="3"/>
        <v>78.47</v>
      </c>
      <c r="BH15" s="10">
        <v>19.0</v>
      </c>
      <c r="BI15" s="10">
        <v>50.0</v>
      </c>
      <c r="BJ15" s="10">
        <v>37.0</v>
      </c>
      <c r="BK15" s="10">
        <v>48.0</v>
      </c>
      <c r="BL15" s="10">
        <v>44.0</v>
      </c>
      <c r="BM15" s="10">
        <v>39.0</v>
      </c>
      <c r="BN15" s="10">
        <v>29.0</v>
      </c>
      <c r="BO15" s="9" t="s">
        <v>190</v>
      </c>
      <c r="BP15" s="9" t="s">
        <v>191</v>
      </c>
      <c r="BQ15" s="7" t="s">
        <v>127</v>
      </c>
      <c r="BR15" s="7" t="s">
        <v>127</v>
      </c>
      <c r="BS15" s="7" t="s">
        <v>192</v>
      </c>
      <c r="BT15" s="8">
        <v>46213.0</v>
      </c>
      <c r="BU15" s="7" t="s">
        <v>96</v>
      </c>
      <c r="BV15" s="11" t="s">
        <v>86</v>
      </c>
      <c r="BW15" s="11" t="s">
        <v>86</v>
      </c>
      <c r="BX15" s="11" t="s">
        <v>97</v>
      </c>
    </row>
    <row r="16">
      <c r="A16" s="7" t="s">
        <v>113</v>
      </c>
      <c r="B16" s="7" t="s">
        <v>114</v>
      </c>
      <c r="C16" s="7" t="s">
        <v>193</v>
      </c>
      <c r="D16" s="7" t="s">
        <v>194</v>
      </c>
      <c r="E16" s="7" t="s">
        <v>195</v>
      </c>
      <c r="F16" s="7" t="s">
        <v>196</v>
      </c>
      <c r="G16" s="7" t="s">
        <v>83</v>
      </c>
      <c r="H16" s="8">
        <v>46161.0</v>
      </c>
      <c r="I16" s="7" t="s">
        <v>197</v>
      </c>
      <c r="J16" s="7" t="s">
        <v>198</v>
      </c>
      <c r="K16" s="7" t="s">
        <v>86</v>
      </c>
      <c r="L16" s="7" t="s">
        <v>86</v>
      </c>
      <c r="M16" s="7" t="s">
        <v>163</v>
      </c>
      <c r="N16" s="7" t="s">
        <v>123</v>
      </c>
      <c r="O16" s="7">
        <v>1000000.0</v>
      </c>
      <c r="P16" s="9"/>
      <c r="Q16" s="9" t="s">
        <v>124</v>
      </c>
      <c r="R16" s="9"/>
      <c r="S16" s="9">
        <v>10.0</v>
      </c>
      <c r="T16" s="9">
        <v>5.0</v>
      </c>
      <c r="U16" s="9">
        <v>5.0</v>
      </c>
      <c r="V16" s="9">
        <v>950.0</v>
      </c>
      <c r="W16" s="9">
        <v>950.0</v>
      </c>
      <c r="X16" s="9">
        <v>2390.0</v>
      </c>
      <c r="Y16" s="9">
        <v>4770.0</v>
      </c>
      <c r="Z16" s="9">
        <v>2.5</v>
      </c>
      <c r="AA16" s="9">
        <v>0.5</v>
      </c>
      <c r="AB16" s="9">
        <v>3.125</v>
      </c>
      <c r="AC16" s="9">
        <v>7.5</v>
      </c>
      <c r="AD16" s="9"/>
      <c r="AE16" s="9"/>
      <c r="AF16" s="9"/>
      <c r="AG16" s="9"/>
      <c r="AH16" s="9">
        <v>0.01263157894736842</v>
      </c>
      <c r="AI16" s="9">
        <v>33.31578947368421</v>
      </c>
      <c r="AJ16" s="9">
        <v>60.6</v>
      </c>
      <c r="AK16" s="9"/>
      <c r="AL16" s="9">
        <v>69.7</v>
      </c>
      <c r="AM16" s="9"/>
      <c r="AN16" s="9">
        <v>80.4</v>
      </c>
      <c r="AO16" s="9"/>
      <c r="AP16" s="9">
        <v>76.4</v>
      </c>
      <c r="AQ16" s="9"/>
      <c r="AR16" s="9">
        <v>92.4</v>
      </c>
      <c r="AS16" s="9"/>
      <c r="AT16" s="9">
        <v>90.0</v>
      </c>
      <c r="AU16" s="9">
        <v>92.0</v>
      </c>
      <c r="AV16" s="9">
        <v>90.0</v>
      </c>
      <c r="AW16" s="9">
        <v>94.0</v>
      </c>
      <c r="AX16" s="9">
        <v>95.0</v>
      </c>
      <c r="AY16" s="9">
        <v>55.0</v>
      </c>
      <c r="AZ16" s="9">
        <v>42.0</v>
      </c>
      <c r="BA16" s="9">
        <v>100.0</v>
      </c>
      <c r="BB16" s="9">
        <v>85.0</v>
      </c>
      <c r="BC16" s="9">
        <f t="shared" si="1"/>
        <v>92.5</v>
      </c>
      <c r="BD16" s="10">
        <v>11.0</v>
      </c>
      <c r="BE16" s="10">
        <f t="shared" si="2"/>
        <v>81.15</v>
      </c>
      <c r="BF16" s="10">
        <v>22.0</v>
      </c>
      <c r="BG16" s="10">
        <f t="shared" si="3"/>
        <v>73.88</v>
      </c>
      <c r="BH16" s="10">
        <v>25.0</v>
      </c>
      <c r="BI16" s="10">
        <v>15.0</v>
      </c>
      <c r="BJ16" s="10">
        <v>24.0</v>
      </c>
      <c r="BK16" s="10">
        <v>26.0</v>
      </c>
      <c r="BL16" s="10">
        <v>13.0</v>
      </c>
      <c r="BM16" s="10">
        <v>15.0</v>
      </c>
      <c r="BN16" s="10">
        <v>45.0</v>
      </c>
      <c r="BO16" s="9" t="s">
        <v>199</v>
      </c>
      <c r="BP16" s="9" t="s">
        <v>200</v>
      </c>
      <c r="BQ16" s="7" t="s">
        <v>127</v>
      </c>
      <c r="BR16" s="7" t="s">
        <v>127</v>
      </c>
      <c r="BS16" s="7" t="s">
        <v>201</v>
      </c>
      <c r="BT16" s="8">
        <v>46213.0</v>
      </c>
      <c r="BU16" s="7" t="s">
        <v>96</v>
      </c>
      <c r="BV16" s="11" t="s">
        <v>86</v>
      </c>
      <c r="BW16" s="11" t="s">
        <v>86</v>
      </c>
      <c r="BX16" s="11" t="s">
        <v>97</v>
      </c>
    </row>
    <row r="17">
      <c r="A17" s="7" t="s">
        <v>113</v>
      </c>
      <c r="B17" s="7" t="s">
        <v>114</v>
      </c>
      <c r="C17" s="7" t="s">
        <v>202</v>
      </c>
      <c r="D17" s="7" t="s">
        <v>203</v>
      </c>
      <c r="E17" s="7" t="s">
        <v>195</v>
      </c>
      <c r="F17" s="7" t="s">
        <v>204</v>
      </c>
      <c r="G17" s="7" t="s">
        <v>100</v>
      </c>
      <c r="H17" s="8">
        <v>46161.0</v>
      </c>
      <c r="I17" s="7" t="s">
        <v>205</v>
      </c>
      <c r="J17" s="7" t="s">
        <v>206</v>
      </c>
      <c r="K17" s="7" t="s">
        <v>86</v>
      </c>
      <c r="L17" s="7" t="s">
        <v>86</v>
      </c>
      <c r="M17" s="7" t="s">
        <v>163</v>
      </c>
      <c r="N17" s="7" t="s">
        <v>123</v>
      </c>
      <c r="O17" s="7">
        <v>1000000.0</v>
      </c>
      <c r="P17" s="9"/>
      <c r="Q17" s="9" t="s">
        <v>102</v>
      </c>
      <c r="R17" s="9"/>
      <c r="S17" s="9">
        <v>10.0</v>
      </c>
      <c r="T17" s="9">
        <v>5.0</v>
      </c>
      <c r="U17" s="9">
        <v>5.0</v>
      </c>
      <c r="V17" s="9">
        <v>4300.0</v>
      </c>
      <c r="W17" s="9">
        <v>4300.0</v>
      </c>
      <c r="X17" s="9">
        <v>10800.0</v>
      </c>
      <c r="Y17" s="9">
        <v>21600.0</v>
      </c>
      <c r="Z17" s="9">
        <v>0.4</v>
      </c>
      <c r="AA17" s="9">
        <v>0.04</v>
      </c>
      <c r="AB17" s="9">
        <v>0.5</v>
      </c>
      <c r="AC17" s="9">
        <v>1.6</v>
      </c>
      <c r="AD17" s="9">
        <v>1.2</v>
      </c>
      <c r="AE17" s="9">
        <v>0.12</v>
      </c>
      <c r="AF17" s="9">
        <v>1.5</v>
      </c>
      <c r="AG17" s="9">
        <v>4.8</v>
      </c>
      <c r="AH17" s="9">
        <v>0.0027906976744186047</v>
      </c>
      <c r="AI17" s="9">
        <v>7.36046511627907</v>
      </c>
      <c r="AJ17" s="9">
        <v>57.6</v>
      </c>
      <c r="AK17" s="9"/>
      <c r="AL17" s="9">
        <v>70.3</v>
      </c>
      <c r="AM17" s="9"/>
      <c r="AN17" s="9">
        <v>77.7</v>
      </c>
      <c r="AO17" s="9"/>
      <c r="AP17" s="9"/>
      <c r="AQ17" s="9"/>
      <c r="AR17" s="9"/>
      <c r="AS17" s="9"/>
      <c r="AT17" s="9">
        <v>90.0</v>
      </c>
      <c r="AU17" s="9">
        <v>89.0</v>
      </c>
      <c r="AV17" s="9">
        <v>91.0</v>
      </c>
      <c r="AW17" s="9">
        <v>89.0</v>
      </c>
      <c r="AX17" s="9">
        <v>93.0</v>
      </c>
      <c r="AY17" s="9">
        <v>82.0</v>
      </c>
      <c r="AZ17" s="9">
        <v>85.0</v>
      </c>
      <c r="BA17" s="9">
        <v>100.0</v>
      </c>
      <c r="BB17" s="9">
        <v>85.0</v>
      </c>
      <c r="BC17" s="9">
        <f t="shared" si="1"/>
        <v>90.35</v>
      </c>
      <c r="BD17" s="10">
        <v>18.0</v>
      </c>
      <c r="BE17" s="10">
        <f t="shared" si="2"/>
        <v>88.75</v>
      </c>
      <c r="BF17" s="10">
        <v>7.0</v>
      </c>
      <c r="BG17" s="10">
        <f t="shared" si="3"/>
        <v>87.49</v>
      </c>
      <c r="BH17" s="10">
        <v>7.0</v>
      </c>
      <c r="BI17" s="10">
        <v>19.0</v>
      </c>
      <c r="BJ17" s="10">
        <v>18.0</v>
      </c>
      <c r="BK17" s="10">
        <v>14.0</v>
      </c>
      <c r="BL17" s="10">
        <v>19.0</v>
      </c>
      <c r="BM17" s="10">
        <v>21.0</v>
      </c>
      <c r="BN17" s="10">
        <v>20.0</v>
      </c>
      <c r="BO17" s="9" t="s">
        <v>207</v>
      </c>
      <c r="BP17" s="9" t="s">
        <v>208</v>
      </c>
      <c r="BQ17" s="7" t="s">
        <v>127</v>
      </c>
      <c r="BR17" s="7" t="s">
        <v>127</v>
      </c>
      <c r="BS17" s="7" t="s">
        <v>201</v>
      </c>
      <c r="BT17" s="8">
        <v>46213.0</v>
      </c>
      <c r="BU17" s="7" t="s">
        <v>96</v>
      </c>
      <c r="BV17" s="11" t="s">
        <v>86</v>
      </c>
      <c r="BW17" s="11" t="s">
        <v>86</v>
      </c>
      <c r="BX17" s="11" t="s">
        <v>97</v>
      </c>
    </row>
    <row r="18" ht="15.75" customHeight="1">
      <c r="A18" s="7" t="s">
        <v>113</v>
      </c>
      <c r="B18" s="7" t="s">
        <v>114</v>
      </c>
      <c r="C18" s="7" t="s">
        <v>209</v>
      </c>
      <c r="D18" s="7" t="s">
        <v>210</v>
      </c>
      <c r="E18" s="7" t="s">
        <v>195</v>
      </c>
      <c r="F18" s="7" t="s">
        <v>211</v>
      </c>
      <c r="G18" s="7" t="s">
        <v>131</v>
      </c>
      <c r="H18" s="8">
        <v>46113.0</v>
      </c>
      <c r="I18" s="7" t="s">
        <v>205</v>
      </c>
      <c r="J18" s="7" t="s">
        <v>212</v>
      </c>
      <c r="K18" s="7" t="s">
        <v>86</v>
      </c>
      <c r="L18" s="7" t="s">
        <v>86</v>
      </c>
      <c r="M18" s="7" t="s">
        <v>163</v>
      </c>
      <c r="N18" s="7" t="s">
        <v>123</v>
      </c>
      <c r="O18" s="7">
        <v>1000000.0</v>
      </c>
      <c r="P18" s="9"/>
      <c r="Q18" s="9" t="s">
        <v>102</v>
      </c>
      <c r="R18" s="9"/>
      <c r="S18" s="9">
        <v>10.0</v>
      </c>
      <c r="T18" s="9">
        <v>5.0</v>
      </c>
      <c r="U18" s="9">
        <v>5.0</v>
      </c>
      <c r="V18" s="9">
        <v>3300.0</v>
      </c>
      <c r="W18" s="9">
        <v>3300.0</v>
      </c>
      <c r="X18" s="9">
        <v>8200.0</v>
      </c>
      <c r="Y18" s="9">
        <v>16300.0</v>
      </c>
      <c r="Z18" s="9">
        <v>0.5</v>
      </c>
      <c r="AA18" s="9">
        <v>0.05</v>
      </c>
      <c r="AB18" s="9">
        <v>0.625</v>
      </c>
      <c r="AC18" s="9">
        <v>3.0</v>
      </c>
      <c r="AD18" s="9">
        <v>2.0</v>
      </c>
      <c r="AE18" s="9">
        <v>0.2</v>
      </c>
      <c r="AF18" s="9">
        <v>2.5</v>
      </c>
      <c r="AG18" s="9">
        <v>6.0</v>
      </c>
      <c r="AH18" s="9">
        <v>0.0036363636363636364</v>
      </c>
      <c r="AI18" s="9">
        <v>9.590909090909092</v>
      </c>
      <c r="AJ18" s="9">
        <v>56.6</v>
      </c>
      <c r="AK18" s="9"/>
      <c r="AL18" s="9">
        <v>61.6</v>
      </c>
      <c r="AM18" s="9"/>
      <c r="AN18" s="9">
        <v>78.8</v>
      </c>
      <c r="AO18" s="9"/>
      <c r="AP18" s="9"/>
      <c r="AQ18" s="9"/>
      <c r="AR18" s="9"/>
      <c r="AS18" s="9"/>
      <c r="AT18" s="9">
        <v>86.0</v>
      </c>
      <c r="AU18" s="9">
        <v>84.0</v>
      </c>
      <c r="AV18" s="9">
        <v>82.0</v>
      </c>
      <c r="AW18" s="9">
        <v>88.0</v>
      </c>
      <c r="AX18" s="9">
        <v>90.0</v>
      </c>
      <c r="AY18" s="9">
        <v>78.0</v>
      </c>
      <c r="AZ18" s="9">
        <v>80.0</v>
      </c>
      <c r="BA18" s="9">
        <v>100.0</v>
      </c>
      <c r="BB18" s="9">
        <v>85.0</v>
      </c>
      <c r="BC18" s="9">
        <f t="shared" si="1"/>
        <v>86.15</v>
      </c>
      <c r="BD18" s="10">
        <v>25.0</v>
      </c>
      <c r="BE18" s="10">
        <f t="shared" si="2"/>
        <v>84.55</v>
      </c>
      <c r="BF18" s="10">
        <v>16.0</v>
      </c>
      <c r="BG18" s="10">
        <f t="shared" si="3"/>
        <v>83.33</v>
      </c>
      <c r="BH18" s="10">
        <v>12.0</v>
      </c>
      <c r="BI18" s="10">
        <v>30.0</v>
      </c>
      <c r="BJ18" s="10">
        <v>33.0</v>
      </c>
      <c r="BK18" s="10">
        <v>29.0</v>
      </c>
      <c r="BL18" s="10">
        <v>32.0</v>
      </c>
      <c r="BM18" s="10">
        <v>32.0</v>
      </c>
      <c r="BN18" s="10">
        <v>26.0</v>
      </c>
      <c r="BO18" s="9" t="s">
        <v>213</v>
      </c>
      <c r="BP18" s="9" t="s">
        <v>214</v>
      </c>
      <c r="BQ18" s="7" t="s">
        <v>127</v>
      </c>
      <c r="BR18" s="7" t="s">
        <v>127</v>
      </c>
      <c r="BS18" s="7" t="s">
        <v>215</v>
      </c>
      <c r="BT18" s="8">
        <v>46213.0</v>
      </c>
      <c r="BU18" s="7" t="s">
        <v>96</v>
      </c>
      <c r="BV18" s="11" t="s">
        <v>86</v>
      </c>
      <c r="BW18" s="11" t="s">
        <v>86</v>
      </c>
      <c r="BX18" s="11" t="s">
        <v>97</v>
      </c>
    </row>
    <row r="19" ht="15.75" customHeight="1">
      <c r="A19" s="7" t="s">
        <v>113</v>
      </c>
      <c r="B19" s="7" t="s">
        <v>114</v>
      </c>
      <c r="C19" s="7" t="s">
        <v>216</v>
      </c>
      <c r="D19" s="7" t="s">
        <v>217</v>
      </c>
      <c r="E19" s="7" t="s">
        <v>218</v>
      </c>
      <c r="F19" s="7" t="s">
        <v>219</v>
      </c>
      <c r="G19" s="7" t="s">
        <v>118</v>
      </c>
      <c r="H19" s="8">
        <v>46136.0</v>
      </c>
      <c r="I19" s="7" t="s">
        <v>119</v>
      </c>
      <c r="J19" s="7" t="s">
        <v>220</v>
      </c>
      <c r="K19" s="7" t="s">
        <v>121</v>
      </c>
      <c r="L19" s="7" t="s">
        <v>221</v>
      </c>
      <c r="M19" s="7" t="s">
        <v>163</v>
      </c>
      <c r="N19" s="7" t="s">
        <v>123</v>
      </c>
      <c r="O19" s="7">
        <v>1000000.0</v>
      </c>
      <c r="P19" s="9"/>
      <c r="Q19" s="9" t="s">
        <v>102</v>
      </c>
      <c r="R19" s="9"/>
      <c r="S19" s="9">
        <v>10.0</v>
      </c>
      <c r="T19" s="9">
        <v>5.0</v>
      </c>
      <c r="U19" s="9">
        <v>5.0</v>
      </c>
      <c r="V19" s="9">
        <v>3450.0</v>
      </c>
      <c r="W19" s="9">
        <v>3450.0</v>
      </c>
      <c r="X19" s="9">
        <v>8550.0</v>
      </c>
      <c r="Y19" s="9">
        <v>17150.0</v>
      </c>
      <c r="Z19" s="9">
        <v>1.74</v>
      </c>
      <c r="AA19" s="9">
        <v>0.0145</v>
      </c>
      <c r="AB19" s="9"/>
      <c r="AC19" s="9">
        <v>3.48</v>
      </c>
      <c r="AD19" s="9"/>
      <c r="AE19" s="9"/>
      <c r="AF19" s="9"/>
      <c r="AG19" s="9"/>
      <c r="AH19" s="9">
        <v>0.0034782608695652175</v>
      </c>
      <c r="AI19" s="9">
        <v>9.173913043478262</v>
      </c>
      <c r="AJ19" s="9">
        <v>55.4</v>
      </c>
      <c r="AK19" s="9"/>
      <c r="AL19" s="9">
        <v>67.9</v>
      </c>
      <c r="AM19" s="9"/>
      <c r="AN19" s="9">
        <v>80.6</v>
      </c>
      <c r="AO19" s="9"/>
      <c r="AP19" s="9">
        <v>73.6</v>
      </c>
      <c r="AQ19" s="9"/>
      <c r="AR19" s="9"/>
      <c r="AS19" s="9"/>
      <c r="AT19" s="9">
        <v>80.0</v>
      </c>
      <c r="AU19" s="9">
        <v>88.0</v>
      </c>
      <c r="AV19" s="9">
        <v>89.0</v>
      </c>
      <c r="AW19" s="9">
        <v>86.0</v>
      </c>
      <c r="AX19" s="9">
        <v>92.0</v>
      </c>
      <c r="AY19" s="9">
        <v>75.0</v>
      </c>
      <c r="AZ19" s="9">
        <v>78.0</v>
      </c>
      <c r="BA19" s="9">
        <v>40.0</v>
      </c>
      <c r="BB19" s="9">
        <v>84.0</v>
      </c>
      <c r="BC19" s="9">
        <f t="shared" si="1"/>
        <v>85.8</v>
      </c>
      <c r="BD19" s="10">
        <v>26.0</v>
      </c>
      <c r="BE19" s="10">
        <f t="shared" si="2"/>
        <v>82.85</v>
      </c>
      <c r="BF19" s="10">
        <v>18.0</v>
      </c>
      <c r="BG19" s="10">
        <f t="shared" si="3"/>
        <v>82.14</v>
      </c>
      <c r="BH19" s="10">
        <v>14.0</v>
      </c>
      <c r="BI19" s="10">
        <v>24.0</v>
      </c>
      <c r="BJ19" s="10">
        <v>28.0</v>
      </c>
      <c r="BK19" s="10">
        <v>42.0</v>
      </c>
      <c r="BL19" s="10">
        <v>26.0</v>
      </c>
      <c r="BM19" s="10">
        <v>27.0</v>
      </c>
      <c r="BN19" s="10">
        <v>27.0</v>
      </c>
      <c r="BO19" s="9" t="s">
        <v>222</v>
      </c>
      <c r="BP19" s="9" t="s">
        <v>223</v>
      </c>
      <c r="BQ19" s="7" t="s">
        <v>127</v>
      </c>
      <c r="BR19" s="7" t="s">
        <v>127</v>
      </c>
      <c r="BS19" s="7" t="s">
        <v>224</v>
      </c>
      <c r="BT19" s="8">
        <v>46213.0</v>
      </c>
      <c r="BU19" s="7" t="s">
        <v>96</v>
      </c>
      <c r="BV19" s="11" t="s">
        <v>86</v>
      </c>
      <c r="BW19" s="11" t="s">
        <v>86</v>
      </c>
      <c r="BX19" s="11" t="s">
        <v>97</v>
      </c>
    </row>
    <row r="20" ht="15.75" customHeight="1">
      <c r="A20" s="7" t="s">
        <v>113</v>
      </c>
      <c r="B20" s="7" t="s">
        <v>114</v>
      </c>
      <c r="C20" s="7" t="s">
        <v>225</v>
      </c>
      <c r="D20" s="7" t="s">
        <v>226</v>
      </c>
      <c r="E20" s="7" t="s">
        <v>218</v>
      </c>
      <c r="F20" s="7" t="s">
        <v>227</v>
      </c>
      <c r="G20" s="7" t="s">
        <v>107</v>
      </c>
      <c r="H20" s="8">
        <v>46136.0</v>
      </c>
      <c r="I20" s="7" t="s">
        <v>228</v>
      </c>
      <c r="J20" s="7" t="s">
        <v>229</v>
      </c>
      <c r="K20" s="7" t="s">
        <v>121</v>
      </c>
      <c r="L20" s="7" t="s">
        <v>86</v>
      </c>
      <c r="M20" s="7" t="s">
        <v>163</v>
      </c>
      <c r="N20" s="7" t="s">
        <v>123</v>
      </c>
      <c r="O20" s="7">
        <v>1000000.0</v>
      </c>
      <c r="P20" s="9"/>
      <c r="Q20" s="9" t="s">
        <v>110</v>
      </c>
      <c r="R20" s="9"/>
      <c r="S20" s="9">
        <v>10.0</v>
      </c>
      <c r="T20" s="9">
        <v>5.0</v>
      </c>
      <c r="U20" s="9">
        <v>5.0</v>
      </c>
      <c r="V20" s="9">
        <v>31650.0</v>
      </c>
      <c r="W20" s="9">
        <v>31650.0</v>
      </c>
      <c r="X20" s="9">
        <v>79050.0</v>
      </c>
      <c r="Y20" s="9">
        <v>158150.0</v>
      </c>
      <c r="Z20" s="9">
        <v>0.14</v>
      </c>
      <c r="AA20" s="9">
        <v>0.0028</v>
      </c>
      <c r="AB20" s="9"/>
      <c r="AC20" s="9">
        <v>0.28</v>
      </c>
      <c r="AD20" s="9"/>
      <c r="AE20" s="9"/>
      <c r="AF20" s="9"/>
      <c r="AG20" s="9"/>
      <c r="AH20" s="9">
        <v>3.791469194312796E-4</v>
      </c>
      <c r="AI20" s="9">
        <v>1.0</v>
      </c>
      <c r="AJ20" s="9">
        <v>52.6</v>
      </c>
      <c r="AK20" s="9"/>
      <c r="AL20" s="9">
        <v>56.9</v>
      </c>
      <c r="AM20" s="9"/>
      <c r="AN20" s="9">
        <v>79.0</v>
      </c>
      <c r="AO20" s="9"/>
      <c r="AP20" s="9"/>
      <c r="AQ20" s="9"/>
      <c r="AR20" s="9"/>
      <c r="AS20" s="9"/>
      <c r="AT20" s="9">
        <v>78.0</v>
      </c>
      <c r="AU20" s="9">
        <v>81.0</v>
      </c>
      <c r="AV20" s="9">
        <v>76.0</v>
      </c>
      <c r="AW20" s="9">
        <v>82.0</v>
      </c>
      <c r="AX20" s="9">
        <v>88.0</v>
      </c>
      <c r="AY20" s="9">
        <v>96.0</v>
      </c>
      <c r="AZ20" s="9">
        <v>100.0</v>
      </c>
      <c r="BA20" s="9">
        <v>40.0</v>
      </c>
      <c r="BB20" s="9">
        <v>84.0</v>
      </c>
      <c r="BC20" s="9">
        <f t="shared" si="1"/>
        <v>79.35</v>
      </c>
      <c r="BD20" s="10">
        <v>31.0</v>
      </c>
      <c r="BE20" s="10">
        <f t="shared" si="2"/>
        <v>83.55</v>
      </c>
      <c r="BF20" s="10">
        <v>17.0</v>
      </c>
      <c r="BG20" s="10">
        <f t="shared" si="3"/>
        <v>87.24</v>
      </c>
      <c r="BH20" s="10">
        <v>8.0</v>
      </c>
      <c r="BI20" s="10">
        <v>37.0</v>
      </c>
      <c r="BJ20" s="10">
        <v>41.0</v>
      </c>
      <c r="BK20" s="10">
        <v>43.0</v>
      </c>
      <c r="BL20" s="10">
        <v>38.0</v>
      </c>
      <c r="BM20" s="10">
        <v>39.0</v>
      </c>
      <c r="BN20" s="10">
        <v>5.0</v>
      </c>
      <c r="BO20" s="9" t="s">
        <v>230</v>
      </c>
      <c r="BP20" s="9" t="s">
        <v>231</v>
      </c>
      <c r="BQ20" s="7" t="s">
        <v>127</v>
      </c>
      <c r="BR20" s="7" t="s">
        <v>127</v>
      </c>
      <c r="BS20" s="7" t="s">
        <v>224</v>
      </c>
      <c r="BT20" s="8">
        <v>46213.0</v>
      </c>
      <c r="BU20" s="7" t="s">
        <v>96</v>
      </c>
      <c r="BV20" s="11" t="s">
        <v>86</v>
      </c>
      <c r="BW20" s="11" t="s">
        <v>86</v>
      </c>
      <c r="BX20" s="11" t="s">
        <v>97</v>
      </c>
    </row>
    <row r="21" ht="15.75" customHeight="1">
      <c r="A21" s="7" t="s">
        <v>232</v>
      </c>
      <c r="B21" s="7" t="s">
        <v>233</v>
      </c>
      <c r="C21" s="7" t="s">
        <v>234</v>
      </c>
      <c r="D21" s="7" t="s">
        <v>235</v>
      </c>
      <c r="E21" s="7" t="s">
        <v>236</v>
      </c>
      <c r="F21" s="7">
        <v>4.5</v>
      </c>
      <c r="G21" s="7" t="s">
        <v>83</v>
      </c>
      <c r="H21" s="8">
        <v>46211.0</v>
      </c>
      <c r="I21" s="7" t="s">
        <v>84</v>
      </c>
      <c r="J21" s="7" t="s">
        <v>237</v>
      </c>
      <c r="K21" s="7" t="s">
        <v>86</v>
      </c>
      <c r="L21" s="7" t="s">
        <v>238</v>
      </c>
      <c r="M21" s="7" t="s">
        <v>239</v>
      </c>
      <c r="N21" s="7" t="s">
        <v>240</v>
      </c>
      <c r="O21" s="7">
        <v>500000.0</v>
      </c>
      <c r="P21" s="9"/>
      <c r="Q21" s="9" t="s">
        <v>102</v>
      </c>
      <c r="R21" s="9">
        <v>80.0</v>
      </c>
      <c r="S21" s="9"/>
      <c r="T21" s="9"/>
      <c r="U21" s="9"/>
      <c r="V21" s="9"/>
      <c r="W21" s="9"/>
      <c r="X21" s="9"/>
      <c r="Y21" s="9"/>
      <c r="Z21" s="9">
        <v>2.0</v>
      </c>
      <c r="AA21" s="9">
        <v>0.5</v>
      </c>
      <c r="AB21" s="9"/>
      <c r="AC21" s="9">
        <v>6.0</v>
      </c>
      <c r="AD21" s="9"/>
      <c r="AE21" s="9"/>
      <c r="AF21" s="9"/>
      <c r="AG21" s="9"/>
      <c r="AH21" s="9"/>
      <c r="AI21" s="9"/>
      <c r="AJ21" s="9">
        <v>64.7</v>
      </c>
      <c r="AK21" s="9">
        <v>83.3</v>
      </c>
      <c r="AL21" s="9"/>
      <c r="AM21" s="9"/>
      <c r="AN21" s="9"/>
      <c r="AO21" s="9"/>
      <c r="AP21" s="9"/>
      <c r="AQ21" s="9"/>
      <c r="AR21" s="9"/>
      <c r="AS21" s="9"/>
      <c r="AT21" s="9">
        <v>98.0</v>
      </c>
      <c r="AU21" s="9">
        <v>96.0</v>
      </c>
      <c r="AV21" s="9">
        <v>96.0</v>
      </c>
      <c r="AW21" s="9">
        <v>95.0</v>
      </c>
      <c r="AX21" s="9">
        <v>93.0</v>
      </c>
      <c r="AY21" s="9">
        <v>92.0</v>
      </c>
      <c r="AZ21" s="9">
        <v>70.0</v>
      </c>
      <c r="BA21" s="9">
        <v>100.0</v>
      </c>
      <c r="BB21" s="9">
        <v>90.0</v>
      </c>
      <c r="BC21" s="9">
        <f t="shared" si="1"/>
        <v>95.25</v>
      </c>
      <c r="BD21" s="10">
        <v>6.0</v>
      </c>
      <c r="BE21" s="10">
        <f t="shared" si="2"/>
        <v>91.15</v>
      </c>
      <c r="BF21" s="10">
        <v>3.0</v>
      </c>
      <c r="BG21" s="10">
        <f t="shared" si="3"/>
        <v>88.19</v>
      </c>
      <c r="BH21" s="10">
        <v>5.0</v>
      </c>
      <c r="BI21" s="10">
        <v>14.0</v>
      </c>
      <c r="BJ21" s="10">
        <v>5.0</v>
      </c>
      <c r="BK21" s="10">
        <v>2.0</v>
      </c>
      <c r="BL21" s="10">
        <v>6.0</v>
      </c>
      <c r="BM21" s="10">
        <v>6.0</v>
      </c>
      <c r="BN21" s="10">
        <v>22.0</v>
      </c>
      <c r="BO21" s="9" t="s">
        <v>241</v>
      </c>
      <c r="BP21" s="9" t="s">
        <v>242</v>
      </c>
      <c r="BQ21" s="7" t="s">
        <v>243</v>
      </c>
      <c r="BR21" s="7" t="s">
        <v>244</v>
      </c>
      <c r="BS21" s="7" t="s">
        <v>245</v>
      </c>
      <c r="BT21" s="8">
        <v>46213.0</v>
      </c>
      <c r="BU21" s="7" t="s">
        <v>96</v>
      </c>
      <c r="BV21" s="11" t="s">
        <v>86</v>
      </c>
      <c r="BW21" s="11" t="s">
        <v>86</v>
      </c>
      <c r="BX21" s="11" t="s">
        <v>97</v>
      </c>
    </row>
    <row r="22" ht="15.75" customHeight="1">
      <c r="A22" s="12" t="s">
        <v>246</v>
      </c>
      <c r="B22" s="12" t="s">
        <v>247</v>
      </c>
      <c r="C22" s="12" t="s">
        <v>248</v>
      </c>
      <c r="D22" s="12" t="s">
        <v>249</v>
      </c>
      <c r="E22" s="13" t="s">
        <v>250</v>
      </c>
      <c r="F22" s="13" t="s">
        <v>251</v>
      </c>
      <c r="G22" s="13" t="s">
        <v>252</v>
      </c>
      <c r="H22" s="14">
        <v>46149.0</v>
      </c>
      <c r="I22" s="13" t="s">
        <v>108</v>
      </c>
      <c r="J22" s="13" t="s">
        <v>253</v>
      </c>
      <c r="K22" s="13" t="s">
        <v>254</v>
      </c>
      <c r="L22" s="13" t="s">
        <v>255</v>
      </c>
      <c r="M22" s="13" t="s">
        <v>256</v>
      </c>
      <c r="N22" s="13" t="s">
        <v>257</v>
      </c>
      <c r="O22" s="13">
        <v>1048576.0</v>
      </c>
      <c r="P22" s="15">
        <v>65536.0</v>
      </c>
      <c r="Q22" s="15" t="s">
        <v>258</v>
      </c>
      <c r="R22" s="15">
        <v>363.0</v>
      </c>
      <c r="S22" s="15"/>
      <c r="T22" s="15"/>
      <c r="U22" s="15"/>
      <c r="V22" s="15"/>
      <c r="W22" s="15"/>
      <c r="X22" s="15"/>
      <c r="Y22" s="15"/>
      <c r="Z22" s="15">
        <v>0.25</v>
      </c>
      <c r="AA22" s="15">
        <v>0.025</v>
      </c>
      <c r="AB22" s="15"/>
      <c r="AC22" s="15">
        <v>1.5</v>
      </c>
      <c r="AD22" s="15"/>
      <c r="AE22" s="15"/>
      <c r="AF22" s="15"/>
      <c r="AG22" s="15"/>
      <c r="AH22" s="15"/>
      <c r="AI22" s="15"/>
      <c r="AJ22" s="15"/>
      <c r="AK22" s="15"/>
      <c r="AL22" s="15"/>
      <c r="AM22" s="15"/>
      <c r="AN22" s="15"/>
      <c r="AO22" s="15"/>
      <c r="AP22" s="15"/>
      <c r="AQ22" s="15"/>
      <c r="AR22" s="15">
        <v>86.9</v>
      </c>
      <c r="AS22" s="15">
        <v>60.1</v>
      </c>
      <c r="AT22" s="15">
        <v>90.0</v>
      </c>
      <c r="AU22" s="15">
        <v>72.0</v>
      </c>
      <c r="AV22" s="15">
        <v>78.0</v>
      </c>
      <c r="AW22" s="15">
        <v>72.0</v>
      </c>
      <c r="AX22" s="15">
        <v>82.0</v>
      </c>
      <c r="AY22" s="15">
        <v>100.0</v>
      </c>
      <c r="AZ22" s="15">
        <v>100.0</v>
      </c>
      <c r="BA22" s="15">
        <v>100.0</v>
      </c>
      <c r="BB22" s="15">
        <v>95.0</v>
      </c>
      <c r="BC22" s="15" t="str">
        <f t="shared" si="1"/>
        <v/>
      </c>
      <c r="BD22" s="16"/>
      <c r="BE22" s="16" t="str">
        <f t="shared" si="2"/>
        <v/>
      </c>
      <c r="BF22" s="16"/>
      <c r="BG22" s="16" t="str">
        <f t="shared" si="3"/>
        <v/>
      </c>
      <c r="BH22" s="16"/>
      <c r="BI22" s="16">
        <v>41.0</v>
      </c>
      <c r="BJ22" s="16">
        <v>45.0</v>
      </c>
      <c r="BK22" s="16">
        <v>30.0</v>
      </c>
      <c r="BL22" s="16">
        <v>47.0</v>
      </c>
      <c r="BM22" s="16">
        <v>47.0</v>
      </c>
      <c r="BN22" s="16">
        <v>2.0</v>
      </c>
      <c r="BO22" s="15" t="s">
        <v>259</v>
      </c>
      <c r="BP22" s="15" t="s">
        <v>260</v>
      </c>
      <c r="BQ22" s="13" t="s">
        <v>261</v>
      </c>
      <c r="BR22" s="13" t="s">
        <v>262</v>
      </c>
      <c r="BS22" s="13" t="s">
        <v>263</v>
      </c>
      <c r="BT22" s="14">
        <v>46215.0</v>
      </c>
      <c r="BU22" s="13" t="s">
        <v>264</v>
      </c>
      <c r="BV22" s="11" t="s">
        <v>96</v>
      </c>
      <c r="BW22" s="11" t="s">
        <v>96</v>
      </c>
      <c r="BX22" s="11" t="s">
        <v>265</v>
      </c>
    </row>
    <row r="23" ht="15.75" customHeight="1">
      <c r="A23" s="12" t="s">
        <v>246</v>
      </c>
      <c r="B23" s="17" t="s">
        <v>247</v>
      </c>
      <c r="C23" s="12" t="s">
        <v>266</v>
      </c>
      <c r="D23" s="12" t="s">
        <v>267</v>
      </c>
      <c r="E23" s="13" t="s">
        <v>268</v>
      </c>
      <c r="F23" s="13" t="s">
        <v>269</v>
      </c>
      <c r="G23" s="13" t="s">
        <v>270</v>
      </c>
      <c r="H23" s="14">
        <v>46114.0</v>
      </c>
      <c r="I23" s="13" t="s">
        <v>271</v>
      </c>
      <c r="J23" s="13" t="s">
        <v>272</v>
      </c>
      <c r="K23" s="13" t="s">
        <v>273</v>
      </c>
      <c r="L23" s="13" t="s">
        <v>274</v>
      </c>
      <c r="M23" s="13" t="s">
        <v>275</v>
      </c>
      <c r="N23" s="13" t="s">
        <v>257</v>
      </c>
      <c r="O23" s="13">
        <v>262144.0</v>
      </c>
      <c r="P23" s="15"/>
      <c r="Q23" s="15" t="s">
        <v>276</v>
      </c>
      <c r="R23" s="15"/>
      <c r="S23" s="15"/>
      <c r="T23" s="15"/>
      <c r="U23" s="15"/>
      <c r="V23" s="15"/>
      <c r="W23" s="15"/>
      <c r="X23" s="15"/>
      <c r="Y23" s="15"/>
      <c r="Z23" s="15">
        <v>0.0</v>
      </c>
      <c r="AA23" s="15">
        <v>0.0</v>
      </c>
      <c r="AB23" s="15"/>
      <c r="AC23" s="15">
        <v>0.0</v>
      </c>
      <c r="AD23" s="15"/>
      <c r="AE23" s="15"/>
      <c r="AF23" s="15"/>
      <c r="AG23" s="15"/>
      <c r="AH23" s="15"/>
      <c r="AI23" s="15"/>
      <c r="AJ23" s="15"/>
      <c r="AK23" s="15"/>
      <c r="AL23" s="15"/>
      <c r="AM23" s="15"/>
      <c r="AN23" s="15"/>
      <c r="AO23" s="15"/>
      <c r="AP23" s="15"/>
      <c r="AQ23" s="15"/>
      <c r="AR23" s="15">
        <v>84.3</v>
      </c>
      <c r="AS23" s="15">
        <v>66.4</v>
      </c>
      <c r="AT23" s="15">
        <v>90.0</v>
      </c>
      <c r="AU23" s="15">
        <v>82.0</v>
      </c>
      <c r="AV23" s="15">
        <v>80.0</v>
      </c>
      <c r="AW23" s="15">
        <v>75.0</v>
      </c>
      <c r="AX23" s="15">
        <v>85.0</v>
      </c>
      <c r="AY23" s="15">
        <v>45.0</v>
      </c>
      <c r="AZ23" s="15">
        <v>95.0</v>
      </c>
      <c r="BA23" s="15">
        <v>85.0</v>
      </c>
      <c r="BB23" s="15">
        <v>80.0</v>
      </c>
      <c r="BC23" s="15">
        <f t="shared" si="1"/>
        <v>80.7</v>
      </c>
      <c r="BD23" s="16">
        <v>30.0</v>
      </c>
      <c r="BE23" s="16">
        <f t="shared" si="2"/>
        <v>79.25</v>
      </c>
      <c r="BF23" s="16">
        <v>28.0</v>
      </c>
      <c r="BG23" s="16">
        <f t="shared" si="3"/>
        <v>78.89</v>
      </c>
      <c r="BH23" s="16">
        <v>18.0</v>
      </c>
      <c r="BI23" s="16">
        <v>38.0</v>
      </c>
      <c r="BJ23" s="16">
        <v>48.0</v>
      </c>
      <c r="BK23" s="16">
        <v>40.0</v>
      </c>
      <c r="BL23" s="16">
        <v>42.0</v>
      </c>
      <c r="BM23" s="16">
        <v>42.0</v>
      </c>
      <c r="BN23" s="16">
        <v>33.0</v>
      </c>
      <c r="BO23" s="15" t="s">
        <v>277</v>
      </c>
      <c r="BP23" s="15" t="s">
        <v>278</v>
      </c>
      <c r="BQ23" s="13" t="s">
        <v>279</v>
      </c>
      <c r="BR23" s="13" t="s">
        <v>262</v>
      </c>
      <c r="BS23" s="13" t="s">
        <v>280</v>
      </c>
      <c r="BT23" s="14">
        <v>46215.0</v>
      </c>
      <c r="BU23" s="13" t="s">
        <v>281</v>
      </c>
      <c r="BV23" s="11" t="s">
        <v>86</v>
      </c>
      <c r="BW23" s="11" t="s">
        <v>86</v>
      </c>
      <c r="BX23" s="11" t="s">
        <v>282</v>
      </c>
    </row>
    <row r="24" ht="15.75" customHeight="1">
      <c r="A24" s="18" t="s">
        <v>283</v>
      </c>
      <c r="B24" s="18" t="s">
        <v>284</v>
      </c>
      <c r="C24" s="18" t="s">
        <v>285</v>
      </c>
      <c r="D24" s="18" t="s">
        <v>286</v>
      </c>
      <c r="E24" s="19" t="s">
        <v>287</v>
      </c>
      <c r="F24" s="19" t="s">
        <v>288</v>
      </c>
      <c r="G24" s="19" t="s">
        <v>289</v>
      </c>
      <c r="H24" s="20">
        <v>46177.0</v>
      </c>
      <c r="I24" s="19" t="s">
        <v>290</v>
      </c>
      <c r="J24" s="19" t="s">
        <v>291</v>
      </c>
      <c r="K24" s="19" t="s">
        <v>292</v>
      </c>
      <c r="L24" s="19" t="s">
        <v>293</v>
      </c>
      <c r="M24" s="19" t="s">
        <v>294</v>
      </c>
      <c r="N24" s="19" t="s">
        <v>295</v>
      </c>
      <c r="O24" s="19">
        <v>1048576.0</v>
      </c>
      <c r="P24" s="19"/>
      <c r="Q24" s="19" t="s">
        <v>296</v>
      </c>
      <c r="R24" s="19"/>
      <c r="S24" s="19"/>
      <c r="T24" s="19"/>
      <c r="U24" s="19"/>
      <c r="V24" s="19"/>
      <c r="W24" s="19"/>
      <c r="X24" s="19"/>
      <c r="Y24" s="19"/>
      <c r="Z24" s="19"/>
      <c r="AA24" s="19"/>
      <c r="AB24" s="19"/>
      <c r="AC24" s="19"/>
      <c r="AD24" s="19"/>
      <c r="AE24" s="19"/>
      <c r="AF24" s="19"/>
      <c r="AG24" s="19"/>
      <c r="AH24" s="19"/>
      <c r="AI24" s="19"/>
      <c r="AJ24" s="19"/>
      <c r="AK24" s="19">
        <v>56.4</v>
      </c>
      <c r="AL24" s="19"/>
      <c r="AM24" s="19"/>
      <c r="AN24" s="19">
        <v>71.9</v>
      </c>
      <c r="AO24" s="19"/>
      <c r="AP24" s="19"/>
      <c r="AQ24" s="19"/>
      <c r="AR24" s="19">
        <v>87.0</v>
      </c>
      <c r="AS24" s="19">
        <v>94.7</v>
      </c>
      <c r="AT24" s="19">
        <v>99.0</v>
      </c>
      <c r="AU24" s="19">
        <v>93.0</v>
      </c>
      <c r="AV24" s="19">
        <v>95.0</v>
      </c>
      <c r="AW24" s="19">
        <v>93.0</v>
      </c>
      <c r="AX24" s="19">
        <v>100.0</v>
      </c>
      <c r="AY24" s="19">
        <v>45.0</v>
      </c>
      <c r="AZ24" s="19">
        <v>40.0</v>
      </c>
      <c r="BA24" s="19">
        <v>20.0</v>
      </c>
      <c r="BB24" s="19">
        <v>85.0</v>
      </c>
      <c r="BC24" s="21">
        <f t="shared" si="1"/>
        <v>90.4</v>
      </c>
      <c r="BD24" s="22">
        <v>17.0</v>
      </c>
      <c r="BE24" s="22" t="str">
        <f t="shared" si="2"/>
        <v/>
      </c>
      <c r="BF24" s="22"/>
      <c r="BG24" s="22" t="str">
        <f t="shared" si="3"/>
        <v/>
      </c>
      <c r="BH24" s="22"/>
      <c r="BI24" s="22">
        <v>4.0</v>
      </c>
      <c r="BJ24" s="22">
        <v>21.0</v>
      </c>
      <c r="BK24" s="22">
        <v>51.0</v>
      </c>
      <c r="BL24" s="22">
        <v>10.0</v>
      </c>
      <c r="BM24" s="22">
        <v>11.0</v>
      </c>
      <c r="BN24" s="22">
        <v>49.0</v>
      </c>
      <c r="BO24" s="19" t="s">
        <v>297</v>
      </c>
      <c r="BP24" s="19" t="s">
        <v>298</v>
      </c>
      <c r="BQ24" s="19" t="s">
        <v>299</v>
      </c>
      <c r="BR24" s="19" t="s">
        <v>299</v>
      </c>
      <c r="BS24" s="19" t="s">
        <v>299</v>
      </c>
      <c r="BT24" s="20">
        <v>46215.0</v>
      </c>
      <c r="BU24" s="19" t="s">
        <v>300</v>
      </c>
      <c r="BV24" s="11" t="s">
        <v>86</v>
      </c>
      <c r="BW24" s="11" t="s">
        <v>96</v>
      </c>
      <c r="BX24" s="11" t="s">
        <v>301</v>
      </c>
    </row>
    <row r="25" ht="15.75" customHeight="1">
      <c r="A25" s="18" t="s">
        <v>283</v>
      </c>
      <c r="B25" s="18" t="s">
        <v>284</v>
      </c>
      <c r="C25" s="18" t="s">
        <v>302</v>
      </c>
      <c r="D25" s="18" t="s">
        <v>303</v>
      </c>
      <c r="E25" s="19" t="s">
        <v>287</v>
      </c>
      <c r="F25" s="19" t="s">
        <v>304</v>
      </c>
      <c r="G25" s="19" t="s">
        <v>289</v>
      </c>
      <c r="H25" s="20">
        <v>46092.0</v>
      </c>
      <c r="I25" s="19" t="s">
        <v>305</v>
      </c>
      <c r="J25" s="19" t="s">
        <v>306</v>
      </c>
      <c r="K25" s="19" t="s">
        <v>292</v>
      </c>
      <c r="L25" s="19" t="s">
        <v>307</v>
      </c>
      <c r="M25" s="19" t="s">
        <v>308</v>
      </c>
      <c r="N25" s="19"/>
      <c r="O25" s="19">
        <v>1048576.0</v>
      </c>
      <c r="P25" s="19"/>
      <c r="Q25" s="19" t="s">
        <v>309</v>
      </c>
      <c r="R25" s="19"/>
      <c r="S25" s="19"/>
      <c r="T25" s="19"/>
      <c r="U25" s="19"/>
      <c r="V25" s="19"/>
      <c r="W25" s="19"/>
      <c r="X25" s="19"/>
      <c r="Y25" s="19"/>
      <c r="Z25" s="19"/>
      <c r="AA25" s="19"/>
      <c r="AB25" s="19"/>
      <c r="AC25" s="19"/>
      <c r="AD25" s="19"/>
      <c r="AE25" s="19"/>
      <c r="AF25" s="19"/>
      <c r="AG25" s="19"/>
      <c r="AH25" s="19"/>
      <c r="AI25" s="19"/>
      <c r="AJ25" s="19"/>
      <c r="AK25" s="19"/>
      <c r="AL25" s="19">
        <v>31.0</v>
      </c>
      <c r="AM25" s="19"/>
      <c r="AN25" s="19">
        <v>60.47</v>
      </c>
      <c r="AO25" s="19"/>
      <c r="AP25" s="19"/>
      <c r="AQ25" s="19"/>
      <c r="AR25" s="19">
        <v>79.23</v>
      </c>
      <c r="AS25" s="19">
        <v>91.75</v>
      </c>
      <c r="AT25" s="19">
        <v>99.0</v>
      </c>
      <c r="AU25" s="19">
        <v>89.0</v>
      </c>
      <c r="AV25" s="19">
        <v>91.0</v>
      </c>
      <c r="AW25" s="19">
        <v>88.0</v>
      </c>
      <c r="AX25" s="19">
        <v>98.0</v>
      </c>
      <c r="AY25" s="19">
        <v>85.0</v>
      </c>
      <c r="AZ25" s="19">
        <v>80.0</v>
      </c>
      <c r="BA25" s="19">
        <v>20.0</v>
      </c>
      <c r="BB25" s="19">
        <v>90.0</v>
      </c>
      <c r="BC25" s="21">
        <f t="shared" si="1"/>
        <v>87.15</v>
      </c>
      <c r="BD25" s="22">
        <v>24.0</v>
      </c>
      <c r="BE25" s="22" t="str">
        <f t="shared" si="2"/>
        <v/>
      </c>
      <c r="BF25" s="22"/>
      <c r="BG25" s="22" t="str">
        <f t="shared" si="3"/>
        <v/>
      </c>
      <c r="BH25" s="22"/>
      <c r="BI25" s="22">
        <v>8.0</v>
      </c>
      <c r="BJ25" s="22">
        <v>15.0</v>
      </c>
      <c r="BK25" s="22">
        <v>44.0</v>
      </c>
      <c r="BL25" s="22">
        <v>16.0</v>
      </c>
      <c r="BM25" s="22">
        <v>17.0</v>
      </c>
      <c r="BN25" s="22">
        <v>23.0</v>
      </c>
      <c r="BO25" s="19" t="s">
        <v>310</v>
      </c>
      <c r="BP25" s="19" t="s">
        <v>311</v>
      </c>
      <c r="BQ25" s="19" t="s">
        <v>312</v>
      </c>
      <c r="BR25" s="19" t="s">
        <v>312</v>
      </c>
      <c r="BS25" s="19" t="s">
        <v>312</v>
      </c>
      <c r="BT25" s="20">
        <v>46215.0</v>
      </c>
      <c r="BU25" s="19" t="s">
        <v>313</v>
      </c>
      <c r="BV25" s="11" t="s">
        <v>86</v>
      </c>
      <c r="BW25" s="11" t="s">
        <v>96</v>
      </c>
      <c r="BX25" s="11" t="s">
        <v>301</v>
      </c>
    </row>
    <row r="26" ht="15.75" customHeight="1">
      <c r="A26" s="18" t="s">
        <v>283</v>
      </c>
      <c r="B26" s="18" t="s">
        <v>284</v>
      </c>
      <c r="C26" s="18" t="s">
        <v>314</v>
      </c>
      <c r="D26" s="18" t="s">
        <v>315</v>
      </c>
      <c r="E26" s="19" t="s">
        <v>287</v>
      </c>
      <c r="F26" s="19" t="s">
        <v>316</v>
      </c>
      <c r="G26" s="19" t="s">
        <v>289</v>
      </c>
      <c r="H26" s="20">
        <v>46006.0</v>
      </c>
      <c r="I26" s="19" t="s">
        <v>317</v>
      </c>
      <c r="J26" s="19" t="s">
        <v>318</v>
      </c>
      <c r="K26" s="19" t="s">
        <v>292</v>
      </c>
      <c r="L26" s="19" t="s">
        <v>293</v>
      </c>
      <c r="M26" s="19" t="s">
        <v>319</v>
      </c>
      <c r="N26" s="19"/>
      <c r="O26" s="19">
        <v>1048576.0</v>
      </c>
      <c r="P26" s="19"/>
      <c r="Q26" s="19" t="s">
        <v>320</v>
      </c>
      <c r="R26" s="19"/>
      <c r="S26" s="19"/>
      <c r="T26" s="19"/>
      <c r="U26" s="19"/>
      <c r="V26" s="19"/>
      <c r="W26" s="19"/>
      <c r="X26" s="19"/>
      <c r="Y26" s="19"/>
      <c r="Z26" s="19"/>
      <c r="AA26" s="19"/>
      <c r="AB26" s="19"/>
      <c r="AC26" s="19"/>
      <c r="AD26" s="19"/>
      <c r="AE26" s="19"/>
      <c r="AF26" s="19"/>
      <c r="AG26" s="19"/>
      <c r="AH26" s="19"/>
      <c r="AI26" s="19"/>
      <c r="AJ26" s="19"/>
      <c r="AK26" s="19"/>
      <c r="AL26" s="19"/>
      <c r="AM26" s="19"/>
      <c r="AN26" s="19">
        <v>38.8</v>
      </c>
      <c r="AO26" s="19"/>
      <c r="AP26" s="19"/>
      <c r="AQ26" s="19"/>
      <c r="AR26" s="19">
        <v>73.0</v>
      </c>
      <c r="AS26" s="19">
        <v>86.3</v>
      </c>
      <c r="AT26" s="19">
        <v>99.0</v>
      </c>
      <c r="AU26" s="19">
        <v>75.0</v>
      </c>
      <c r="AV26" s="19">
        <v>82.0</v>
      </c>
      <c r="AW26" s="19">
        <v>72.0</v>
      </c>
      <c r="AX26" s="19">
        <v>95.0</v>
      </c>
      <c r="AY26" s="19">
        <v>98.0</v>
      </c>
      <c r="AZ26" s="19">
        <v>95.0</v>
      </c>
      <c r="BA26" s="19">
        <v>20.0</v>
      </c>
      <c r="BB26" s="19">
        <v>90.0</v>
      </c>
      <c r="BC26" s="21">
        <f t="shared" si="1"/>
        <v>76.8</v>
      </c>
      <c r="BD26" s="22">
        <v>34.0</v>
      </c>
      <c r="BE26" s="22" t="str">
        <f t="shared" si="2"/>
        <v/>
      </c>
      <c r="BF26" s="22"/>
      <c r="BG26" s="22" t="str">
        <f t="shared" si="3"/>
        <v/>
      </c>
      <c r="BH26" s="22"/>
      <c r="BI26" s="22">
        <v>23.0</v>
      </c>
      <c r="BJ26" s="22">
        <v>43.0</v>
      </c>
      <c r="BK26" s="22">
        <v>49.0</v>
      </c>
      <c r="BL26" s="22">
        <v>41.0</v>
      </c>
      <c r="BM26" s="22">
        <v>44.0</v>
      </c>
      <c r="BN26" s="22">
        <v>8.0</v>
      </c>
      <c r="BO26" s="19" t="s">
        <v>321</v>
      </c>
      <c r="BP26" s="19" t="s">
        <v>322</v>
      </c>
      <c r="BQ26" s="19" t="s">
        <v>323</v>
      </c>
      <c r="BR26" s="19" t="s">
        <v>323</v>
      </c>
      <c r="BS26" s="19" t="s">
        <v>323</v>
      </c>
      <c r="BT26" s="20">
        <v>46215.0</v>
      </c>
      <c r="BU26" s="19" t="s">
        <v>324</v>
      </c>
      <c r="BV26" s="11" t="s">
        <v>86</v>
      </c>
      <c r="BW26" s="11" t="s">
        <v>96</v>
      </c>
      <c r="BX26" s="11" t="s">
        <v>301</v>
      </c>
    </row>
    <row r="27" ht="15.75" customHeight="1">
      <c r="A27" s="18" t="s">
        <v>283</v>
      </c>
      <c r="B27" s="18" t="s">
        <v>284</v>
      </c>
      <c r="C27" s="18" t="s">
        <v>325</v>
      </c>
      <c r="D27" s="18" t="s">
        <v>326</v>
      </c>
      <c r="E27" s="19" t="s">
        <v>327</v>
      </c>
      <c r="F27" s="19" t="s">
        <v>328</v>
      </c>
      <c r="G27" s="19" t="s">
        <v>289</v>
      </c>
      <c r="H27" s="20">
        <v>46140.0</v>
      </c>
      <c r="I27" s="19" t="s">
        <v>329</v>
      </c>
      <c r="J27" s="19" t="s">
        <v>330</v>
      </c>
      <c r="K27" s="19" t="s">
        <v>331</v>
      </c>
      <c r="L27" s="19" t="s">
        <v>332</v>
      </c>
      <c r="M27" s="19" t="s">
        <v>333</v>
      </c>
      <c r="N27" s="19"/>
      <c r="O27" s="19">
        <v>262144.0</v>
      </c>
      <c r="P27" s="19"/>
      <c r="Q27" s="19" t="s">
        <v>334</v>
      </c>
      <c r="R27" s="19"/>
      <c r="S27" s="19"/>
      <c r="T27" s="19"/>
      <c r="U27" s="19"/>
      <c r="V27" s="19"/>
      <c r="W27" s="19"/>
      <c r="X27" s="19"/>
      <c r="Y27" s="19"/>
      <c r="Z27" s="19"/>
      <c r="AA27" s="19"/>
      <c r="AB27" s="19"/>
      <c r="AC27" s="19"/>
      <c r="AD27" s="19"/>
      <c r="AE27" s="19"/>
      <c r="AF27" s="19"/>
      <c r="AG27" s="19"/>
      <c r="AH27" s="19"/>
      <c r="AI27" s="19"/>
      <c r="AJ27" s="19"/>
      <c r="AK27" s="19"/>
      <c r="AL27" s="19"/>
      <c r="AM27" s="19"/>
      <c r="AN27" s="19"/>
      <c r="AO27" s="19"/>
      <c r="AP27" s="19"/>
      <c r="AQ27" s="19">
        <v>47.4</v>
      </c>
      <c r="AR27" s="19"/>
      <c r="AS27" s="19"/>
      <c r="AT27" s="19">
        <v>92.0</v>
      </c>
      <c r="AU27" s="19">
        <v>65.0</v>
      </c>
      <c r="AV27" s="19">
        <v>85.0</v>
      </c>
      <c r="AW27" s="19">
        <v>55.0</v>
      </c>
      <c r="AX27" s="19">
        <v>85.0</v>
      </c>
      <c r="AY27" s="19">
        <v>75.0</v>
      </c>
      <c r="AZ27" s="19">
        <v>85.0</v>
      </c>
      <c r="BA27" s="19">
        <v>100.0</v>
      </c>
      <c r="BB27" s="19">
        <v>85.0</v>
      </c>
      <c r="BC27" s="21" t="str">
        <f t="shared" si="1"/>
        <v/>
      </c>
      <c r="BD27" s="22"/>
      <c r="BE27" s="22" t="str">
        <f t="shared" si="2"/>
        <v/>
      </c>
      <c r="BF27" s="22"/>
      <c r="BG27" s="22" t="str">
        <f t="shared" si="3"/>
        <v/>
      </c>
      <c r="BH27" s="22"/>
      <c r="BI27" s="22">
        <v>39.0</v>
      </c>
      <c r="BJ27" s="22">
        <v>49.0</v>
      </c>
      <c r="BK27" s="22">
        <v>38.0</v>
      </c>
      <c r="BL27" s="22">
        <v>49.0</v>
      </c>
      <c r="BM27" s="22">
        <v>49.0</v>
      </c>
      <c r="BN27" s="22">
        <v>31.0</v>
      </c>
      <c r="BO27" s="19" t="s">
        <v>335</v>
      </c>
      <c r="BP27" s="19" t="s">
        <v>336</v>
      </c>
      <c r="BQ27" s="19" t="s">
        <v>337</v>
      </c>
      <c r="BR27" s="19" t="s">
        <v>337</v>
      </c>
      <c r="BS27" s="19" t="s">
        <v>337</v>
      </c>
      <c r="BT27" s="20">
        <v>46215.0</v>
      </c>
      <c r="BU27" s="19" t="s">
        <v>338</v>
      </c>
      <c r="BV27" s="11" t="s">
        <v>96</v>
      </c>
      <c r="BW27" s="11" t="s">
        <v>96</v>
      </c>
      <c r="BX27" s="11" t="s">
        <v>339</v>
      </c>
    </row>
    <row r="28" ht="15.75" customHeight="1">
      <c r="A28" s="7" t="s">
        <v>113</v>
      </c>
      <c r="B28" s="23" t="s">
        <v>340</v>
      </c>
      <c r="C28" s="18" t="s">
        <v>341</v>
      </c>
      <c r="D28" s="23" t="s">
        <v>342</v>
      </c>
      <c r="E28" s="19" t="s">
        <v>341</v>
      </c>
      <c r="F28" s="19" t="s">
        <v>343</v>
      </c>
      <c r="G28" s="19" t="s">
        <v>344</v>
      </c>
      <c r="H28" s="20">
        <v>46209.0</v>
      </c>
      <c r="I28" s="19" t="s">
        <v>345</v>
      </c>
      <c r="J28" s="19" t="s">
        <v>346</v>
      </c>
      <c r="K28" s="19" t="s">
        <v>292</v>
      </c>
      <c r="L28" s="19" t="s">
        <v>347</v>
      </c>
      <c r="M28" s="19" t="s">
        <v>348</v>
      </c>
      <c r="N28" s="19"/>
      <c r="O28" s="19">
        <v>262144.0</v>
      </c>
      <c r="P28" s="19"/>
      <c r="Q28" s="19" t="s">
        <v>349</v>
      </c>
      <c r="R28" s="19"/>
      <c r="S28" s="19"/>
      <c r="T28" s="19"/>
      <c r="U28" s="19"/>
      <c r="V28" s="19"/>
      <c r="W28" s="19"/>
      <c r="X28" s="19"/>
      <c r="Y28" s="19"/>
      <c r="Z28" s="19"/>
      <c r="AA28" s="19"/>
      <c r="AB28" s="19"/>
      <c r="AC28" s="19"/>
      <c r="AD28" s="19"/>
      <c r="AE28" s="19"/>
      <c r="AF28" s="19"/>
      <c r="AG28" s="19"/>
      <c r="AH28" s="19"/>
      <c r="AI28" s="19"/>
      <c r="AJ28" s="19">
        <v>57.9</v>
      </c>
      <c r="AK28" s="19">
        <v>71.7</v>
      </c>
      <c r="AL28" s="19"/>
      <c r="AM28" s="19"/>
      <c r="AN28" s="19">
        <v>78.0</v>
      </c>
      <c r="AO28" s="19">
        <v>48.5</v>
      </c>
      <c r="AP28" s="19">
        <v>79.1</v>
      </c>
      <c r="AQ28" s="19"/>
      <c r="AR28" s="19">
        <v>90.4</v>
      </c>
      <c r="AS28" s="19">
        <v>73.4</v>
      </c>
      <c r="AT28" s="19">
        <v>98.0</v>
      </c>
      <c r="AU28" s="19">
        <v>96.0</v>
      </c>
      <c r="AV28" s="19">
        <v>97.0</v>
      </c>
      <c r="AW28" s="19">
        <v>96.0</v>
      </c>
      <c r="AX28" s="19">
        <v>94.0</v>
      </c>
      <c r="AY28" s="19">
        <v>58.0</v>
      </c>
      <c r="AZ28" s="19">
        <v>48.0</v>
      </c>
      <c r="BA28" s="19">
        <v>20.0</v>
      </c>
      <c r="BB28" s="19">
        <v>84.0</v>
      </c>
      <c r="BC28" s="21">
        <f t="shared" si="1"/>
        <v>91.5</v>
      </c>
      <c r="BD28" s="22">
        <v>14.0</v>
      </c>
      <c r="BE28" s="22" t="str">
        <f t="shared" si="2"/>
        <v/>
      </c>
      <c r="BF28" s="22"/>
      <c r="BG28" s="22" t="str">
        <f t="shared" si="3"/>
        <v/>
      </c>
      <c r="BH28" s="22"/>
      <c r="BI28" s="22">
        <v>11.0</v>
      </c>
      <c r="BJ28" s="22">
        <v>11.0</v>
      </c>
      <c r="BK28" s="22">
        <v>46.0</v>
      </c>
      <c r="BL28" s="22">
        <v>6.0</v>
      </c>
      <c r="BM28" s="22">
        <v>6.0</v>
      </c>
      <c r="BN28" s="22">
        <v>39.0</v>
      </c>
      <c r="BO28" s="19" t="s">
        <v>350</v>
      </c>
      <c r="BP28" s="19" t="s">
        <v>351</v>
      </c>
      <c r="BQ28" s="19" t="s">
        <v>352</v>
      </c>
      <c r="BR28" s="19" t="s">
        <v>352</v>
      </c>
      <c r="BS28" s="19" t="s">
        <v>353</v>
      </c>
      <c r="BT28" s="20">
        <v>46215.0</v>
      </c>
      <c r="BU28" s="19" t="s">
        <v>354</v>
      </c>
      <c r="BV28" s="11" t="s">
        <v>86</v>
      </c>
      <c r="BW28" s="11" t="s">
        <v>96</v>
      </c>
      <c r="BX28" s="11" t="s">
        <v>301</v>
      </c>
    </row>
    <row r="29" ht="15.75" customHeight="1">
      <c r="A29" s="23" t="s">
        <v>355</v>
      </c>
      <c r="B29" s="23" t="s">
        <v>356</v>
      </c>
      <c r="C29" s="18" t="s">
        <v>357</v>
      </c>
      <c r="D29" s="18" t="s">
        <v>358</v>
      </c>
      <c r="E29" s="19" t="s">
        <v>359</v>
      </c>
      <c r="F29" s="19" t="s">
        <v>360</v>
      </c>
      <c r="G29" s="19" t="s">
        <v>361</v>
      </c>
      <c r="H29" s="20">
        <v>46171.0</v>
      </c>
      <c r="I29" s="19" t="s">
        <v>362</v>
      </c>
      <c r="J29" s="19" t="s">
        <v>363</v>
      </c>
      <c r="K29" s="19" t="s">
        <v>364</v>
      </c>
      <c r="L29" s="19" t="s">
        <v>365</v>
      </c>
      <c r="M29" s="19" t="s">
        <v>366</v>
      </c>
      <c r="N29" s="19"/>
      <c r="O29" s="19">
        <v>262144.0</v>
      </c>
      <c r="P29" s="19"/>
      <c r="Q29" s="19" t="s">
        <v>110</v>
      </c>
      <c r="R29" s="19"/>
      <c r="S29" s="19"/>
      <c r="T29" s="19"/>
      <c r="U29" s="19"/>
      <c r="V29" s="19"/>
      <c r="W29" s="19"/>
      <c r="X29" s="19"/>
      <c r="Y29" s="19"/>
      <c r="Z29" s="19">
        <v>0.1986</v>
      </c>
      <c r="AA29" s="19">
        <v>0.0397</v>
      </c>
      <c r="AB29" s="19"/>
      <c r="AC29" s="19">
        <v>1.1914</v>
      </c>
      <c r="AD29" s="19"/>
      <c r="AE29" s="19"/>
      <c r="AF29" s="19"/>
      <c r="AG29" s="19"/>
      <c r="AH29" s="19"/>
      <c r="AI29" s="19"/>
      <c r="AJ29" s="19">
        <v>56.3</v>
      </c>
      <c r="AK29" s="19">
        <v>59.6</v>
      </c>
      <c r="AL29" s="19"/>
      <c r="AM29" s="19"/>
      <c r="AN29" s="19">
        <v>76.5</v>
      </c>
      <c r="AO29" s="19">
        <v>49.5</v>
      </c>
      <c r="AP29" s="19"/>
      <c r="AQ29" s="19"/>
      <c r="AR29" s="19"/>
      <c r="AS29" s="19">
        <v>63.9</v>
      </c>
      <c r="AT29" s="19">
        <v>98.0</v>
      </c>
      <c r="AU29" s="19">
        <v>93.0</v>
      </c>
      <c r="AV29" s="19">
        <v>95.0</v>
      </c>
      <c r="AW29" s="19">
        <v>92.0</v>
      </c>
      <c r="AX29" s="19">
        <v>90.0</v>
      </c>
      <c r="AY29" s="19">
        <v>94.0</v>
      </c>
      <c r="AZ29" s="19">
        <v>82.0</v>
      </c>
      <c r="BA29" s="19">
        <v>100.0</v>
      </c>
      <c r="BB29" s="19">
        <v>88.0</v>
      </c>
      <c r="BC29" s="21">
        <f t="shared" si="1"/>
        <v>92.85</v>
      </c>
      <c r="BD29" s="22">
        <v>10.0</v>
      </c>
      <c r="BE29" s="22">
        <f t="shared" si="2"/>
        <v>91.4</v>
      </c>
      <c r="BF29" s="22">
        <v>2.0</v>
      </c>
      <c r="BG29" s="22">
        <f t="shared" si="3"/>
        <v>90.07</v>
      </c>
      <c r="BH29" s="22">
        <v>2.0</v>
      </c>
      <c r="BI29" s="22">
        <v>22.0</v>
      </c>
      <c r="BJ29" s="22">
        <v>9.0</v>
      </c>
      <c r="BK29" s="22">
        <v>4.0</v>
      </c>
      <c r="BL29" s="22">
        <v>14.0</v>
      </c>
      <c r="BM29" s="22">
        <v>13.0</v>
      </c>
      <c r="BN29" s="22">
        <v>13.0</v>
      </c>
      <c r="BO29" s="19" t="s">
        <v>367</v>
      </c>
      <c r="BP29" s="19" t="s">
        <v>368</v>
      </c>
      <c r="BQ29" s="19" t="s">
        <v>369</v>
      </c>
      <c r="BR29" s="19" t="s">
        <v>369</v>
      </c>
      <c r="BS29" s="19" t="s">
        <v>370</v>
      </c>
      <c r="BT29" s="20">
        <v>46215.0</v>
      </c>
      <c r="BU29" s="19" t="s">
        <v>96</v>
      </c>
      <c r="BV29" s="11" t="s">
        <v>86</v>
      </c>
      <c r="BW29" s="11" t="s">
        <v>86</v>
      </c>
      <c r="BX29" s="11" t="s">
        <v>371</v>
      </c>
    </row>
    <row r="30" ht="15.75" customHeight="1">
      <c r="A30" s="23" t="s">
        <v>372</v>
      </c>
      <c r="B30" s="23" t="s">
        <v>340</v>
      </c>
      <c r="C30" s="18" t="s">
        <v>285</v>
      </c>
      <c r="D30" s="24"/>
      <c r="E30" s="25"/>
      <c r="F30" s="25"/>
      <c r="G30" s="25"/>
      <c r="H30" s="25"/>
      <c r="I30" s="25"/>
      <c r="J30" s="25"/>
      <c r="K30" s="25"/>
      <c r="L30" s="25"/>
      <c r="M30" s="25"/>
      <c r="N30" s="25"/>
      <c r="O30" s="25"/>
      <c r="P30" s="25"/>
      <c r="Q30" s="25"/>
      <c r="R30" s="25"/>
      <c r="S30" s="25"/>
      <c r="T30" s="25"/>
      <c r="U30" s="25"/>
      <c r="V30" s="25"/>
      <c r="W30" s="25"/>
      <c r="X30" s="25"/>
      <c r="Y30" s="25"/>
      <c r="Z30" s="25"/>
      <c r="AA30" s="25"/>
      <c r="AB30" s="25"/>
      <c r="AC30" s="25"/>
      <c r="AD30" s="25"/>
      <c r="AE30" s="25"/>
      <c r="AF30" s="25"/>
      <c r="AG30" s="25"/>
      <c r="AH30" s="25"/>
      <c r="AI30" s="25"/>
      <c r="AJ30" s="25"/>
      <c r="AK30" s="25"/>
      <c r="AL30" s="25"/>
      <c r="AM30" s="25"/>
      <c r="AN30" s="25"/>
      <c r="AO30" s="25"/>
      <c r="AP30" s="25"/>
      <c r="AQ30" s="25"/>
      <c r="AR30" s="25"/>
      <c r="AS30" s="25"/>
      <c r="AT30" s="25"/>
      <c r="AU30" s="25"/>
      <c r="AV30" s="25"/>
      <c r="AW30" s="25"/>
      <c r="AX30" s="25"/>
      <c r="AY30" s="25"/>
      <c r="AZ30" s="25"/>
      <c r="BA30" s="25"/>
      <c r="BB30" s="25"/>
      <c r="BC30" s="25"/>
      <c r="BD30" s="25"/>
      <c r="BE30" s="25"/>
      <c r="BF30" s="25"/>
      <c r="BG30" s="25"/>
      <c r="BH30" s="25"/>
      <c r="BI30" s="25"/>
      <c r="BJ30" s="25"/>
      <c r="BK30" s="25"/>
      <c r="BL30" s="25"/>
      <c r="BM30" s="25"/>
      <c r="BN30" s="25"/>
      <c r="BO30" s="25"/>
      <c r="BP30" s="25"/>
      <c r="BQ30" s="25"/>
      <c r="BR30" s="25"/>
      <c r="BS30" s="25"/>
      <c r="BT30" s="25"/>
      <c r="BU30" s="25"/>
    </row>
    <row r="31" ht="15.75" customHeight="1">
      <c r="A31" s="26" t="s">
        <v>372</v>
      </c>
      <c r="B31" s="26" t="s">
        <v>340</v>
      </c>
      <c r="C31" s="7" t="s">
        <v>156</v>
      </c>
      <c r="D31" s="24"/>
      <c r="E31" s="25"/>
      <c r="F31" s="25"/>
      <c r="G31" s="25"/>
      <c r="H31" s="25"/>
      <c r="I31" s="25"/>
      <c r="J31" s="25"/>
      <c r="K31" s="25"/>
      <c r="L31" s="25"/>
      <c r="M31" s="25"/>
      <c r="N31" s="25"/>
      <c r="O31" s="25"/>
      <c r="P31" s="25"/>
      <c r="Q31" s="25"/>
      <c r="R31" s="25"/>
      <c r="S31" s="25"/>
      <c r="T31" s="25"/>
      <c r="U31" s="25"/>
      <c r="V31" s="25"/>
      <c r="W31" s="25"/>
      <c r="X31" s="25"/>
      <c r="Y31" s="25"/>
      <c r="Z31" s="25"/>
      <c r="AA31" s="25"/>
      <c r="AB31" s="25"/>
      <c r="AC31" s="25"/>
      <c r="AD31" s="25"/>
      <c r="AE31" s="25"/>
      <c r="AF31" s="25"/>
      <c r="AG31" s="25"/>
      <c r="AH31" s="25"/>
      <c r="AI31" s="25"/>
      <c r="AJ31" s="25"/>
      <c r="AK31" s="25"/>
      <c r="AL31" s="25"/>
      <c r="AM31" s="25"/>
      <c r="AN31" s="25"/>
      <c r="AO31" s="25"/>
      <c r="AP31" s="25"/>
      <c r="AQ31" s="25"/>
      <c r="AR31" s="25"/>
      <c r="AS31" s="25"/>
      <c r="AT31" s="25"/>
      <c r="AU31" s="25"/>
      <c r="AV31" s="25"/>
      <c r="AW31" s="25"/>
      <c r="AX31" s="25"/>
      <c r="AY31" s="25"/>
      <c r="AZ31" s="25"/>
      <c r="BA31" s="25"/>
      <c r="BB31" s="25"/>
      <c r="BC31" s="25"/>
      <c r="BD31" s="25"/>
      <c r="BE31" s="25"/>
      <c r="BF31" s="25"/>
      <c r="BG31" s="25"/>
      <c r="BH31" s="25"/>
      <c r="BI31" s="25"/>
      <c r="BJ31" s="25"/>
      <c r="BK31" s="25"/>
      <c r="BL31" s="25"/>
      <c r="BM31" s="25"/>
      <c r="BN31" s="25"/>
      <c r="BO31" s="25"/>
      <c r="BP31" s="25"/>
      <c r="BQ31" s="25"/>
      <c r="BR31" s="25"/>
      <c r="BS31" s="25"/>
      <c r="BT31" s="25"/>
      <c r="BU31" s="25"/>
    </row>
    <row r="32" ht="15.75" customHeight="1">
      <c r="A32" s="26" t="s">
        <v>372</v>
      </c>
      <c r="B32" s="26" t="s">
        <v>340</v>
      </c>
      <c r="C32" s="7" t="s">
        <v>225</v>
      </c>
      <c r="D32" s="24"/>
      <c r="E32" s="25"/>
      <c r="F32" s="25"/>
      <c r="G32" s="25"/>
      <c r="H32" s="25"/>
      <c r="I32" s="25"/>
      <c r="J32" s="25"/>
      <c r="K32" s="25"/>
      <c r="L32" s="25"/>
      <c r="M32" s="25"/>
      <c r="N32" s="25"/>
      <c r="O32" s="25"/>
      <c r="P32" s="25"/>
      <c r="Q32" s="25"/>
      <c r="R32" s="25"/>
      <c r="S32" s="25"/>
      <c r="T32" s="25"/>
      <c r="U32" s="25"/>
      <c r="V32" s="25"/>
      <c r="W32" s="25"/>
      <c r="X32" s="25"/>
      <c r="Y32" s="25"/>
      <c r="Z32" s="25"/>
      <c r="AA32" s="25"/>
      <c r="AB32" s="25"/>
      <c r="AC32" s="25"/>
      <c r="AD32" s="25"/>
      <c r="AE32" s="25"/>
      <c r="AF32" s="25"/>
      <c r="AG32" s="25"/>
      <c r="AH32" s="25"/>
      <c r="AI32" s="25"/>
      <c r="AJ32" s="25"/>
      <c r="AK32" s="25"/>
      <c r="AL32" s="25"/>
      <c r="AM32" s="25"/>
      <c r="AN32" s="25"/>
      <c r="AO32" s="25"/>
      <c r="AP32" s="25"/>
      <c r="AQ32" s="25"/>
      <c r="AR32" s="25"/>
      <c r="AS32" s="25"/>
      <c r="AT32" s="25"/>
      <c r="AU32" s="25"/>
      <c r="AV32" s="25"/>
      <c r="AW32" s="25"/>
      <c r="AX32" s="25"/>
      <c r="AY32" s="25"/>
      <c r="AZ32" s="25"/>
      <c r="BA32" s="25"/>
      <c r="BB32" s="25"/>
      <c r="BC32" s="25"/>
      <c r="BD32" s="25"/>
      <c r="BE32" s="25"/>
      <c r="BF32" s="25"/>
      <c r="BG32" s="25"/>
      <c r="BH32" s="25"/>
      <c r="BI32" s="25"/>
      <c r="BJ32" s="25"/>
      <c r="BK32" s="25"/>
      <c r="BL32" s="25"/>
      <c r="BM32" s="25"/>
      <c r="BN32" s="25"/>
      <c r="BO32" s="25"/>
      <c r="BP32" s="25"/>
      <c r="BQ32" s="25"/>
      <c r="BR32" s="25"/>
      <c r="BS32" s="25"/>
      <c r="BT32" s="25"/>
      <c r="BU32" s="25"/>
    </row>
    <row r="33" ht="15.75" customHeight="1">
      <c r="A33" s="27" t="s">
        <v>373</v>
      </c>
      <c r="B33" s="27" t="s">
        <v>374</v>
      </c>
      <c r="C33" s="28" t="s">
        <v>167</v>
      </c>
      <c r="D33" s="24"/>
      <c r="E33" s="25"/>
      <c r="F33" s="25"/>
      <c r="G33" s="25"/>
      <c r="H33" s="25"/>
      <c r="I33" s="25"/>
      <c r="J33" s="25"/>
      <c r="K33" s="25"/>
      <c r="L33" s="25"/>
      <c r="M33" s="25"/>
      <c r="N33" s="25"/>
      <c r="O33" s="25"/>
      <c r="P33" s="25"/>
      <c r="Q33" s="25"/>
      <c r="R33" s="25"/>
      <c r="S33" s="25"/>
      <c r="T33" s="25"/>
      <c r="U33" s="25"/>
      <c r="V33" s="25"/>
      <c r="W33" s="25"/>
      <c r="X33" s="25"/>
      <c r="Y33" s="25"/>
      <c r="Z33" s="25"/>
      <c r="AA33" s="25"/>
      <c r="AB33" s="25"/>
      <c r="AC33" s="25"/>
      <c r="AD33" s="25"/>
      <c r="AE33" s="25"/>
      <c r="AF33" s="25"/>
      <c r="AG33" s="25"/>
      <c r="AH33" s="25"/>
      <c r="AI33" s="25"/>
      <c r="AJ33" s="25"/>
      <c r="AK33" s="25"/>
      <c r="AL33" s="25"/>
      <c r="AM33" s="25"/>
      <c r="AN33" s="25"/>
      <c r="AO33" s="25"/>
      <c r="AP33" s="25"/>
      <c r="AQ33" s="25"/>
      <c r="AR33" s="25"/>
      <c r="AS33" s="25"/>
      <c r="AT33" s="25"/>
      <c r="AU33" s="25"/>
      <c r="AV33" s="25"/>
      <c r="AW33" s="25"/>
      <c r="AX33" s="25"/>
      <c r="AY33" s="25"/>
      <c r="AZ33" s="25"/>
      <c r="BA33" s="25"/>
      <c r="BB33" s="25"/>
      <c r="BC33" s="25"/>
      <c r="BD33" s="25"/>
      <c r="BE33" s="25"/>
      <c r="BF33" s="25"/>
      <c r="BG33" s="25"/>
      <c r="BH33" s="25"/>
      <c r="BI33" s="25"/>
      <c r="BJ33" s="25"/>
      <c r="BK33" s="25"/>
      <c r="BL33" s="25"/>
      <c r="BM33" s="25"/>
      <c r="BN33" s="25"/>
      <c r="BO33" s="25"/>
      <c r="BP33" s="25"/>
      <c r="BQ33" s="25"/>
      <c r="BR33" s="25"/>
      <c r="BS33" s="25"/>
      <c r="BT33" s="25"/>
      <c r="BU33" s="25"/>
    </row>
    <row r="34" ht="15.75" customHeight="1">
      <c r="A34" s="27" t="s">
        <v>373</v>
      </c>
      <c r="B34" s="27" t="s">
        <v>374</v>
      </c>
      <c r="C34" s="7" t="s">
        <v>216</v>
      </c>
      <c r="D34" s="24"/>
      <c r="E34" s="25"/>
      <c r="F34" s="25"/>
      <c r="G34" s="25"/>
      <c r="H34" s="25"/>
      <c r="I34" s="25"/>
      <c r="J34" s="25"/>
      <c r="K34" s="25"/>
      <c r="L34" s="25"/>
      <c r="M34" s="25"/>
      <c r="N34" s="25"/>
      <c r="O34" s="25"/>
      <c r="P34" s="25"/>
      <c r="Q34" s="25"/>
      <c r="R34" s="25"/>
      <c r="S34" s="25"/>
      <c r="T34" s="25"/>
      <c r="U34" s="25"/>
      <c r="V34" s="25"/>
      <c r="W34" s="25"/>
      <c r="X34" s="25"/>
      <c r="Y34" s="25"/>
      <c r="Z34" s="25"/>
      <c r="AA34" s="25"/>
      <c r="AB34" s="25"/>
      <c r="AC34" s="25"/>
      <c r="AD34" s="25"/>
      <c r="AE34" s="25"/>
      <c r="AF34" s="25"/>
      <c r="AG34" s="25"/>
      <c r="AH34" s="25"/>
      <c r="AI34" s="25"/>
      <c r="AJ34" s="25"/>
      <c r="AK34" s="25"/>
      <c r="AL34" s="25"/>
      <c r="AM34" s="25"/>
      <c r="AN34" s="25"/>
      <c r="AO34" s="25"/>
      <c r="AP34" s="25"/>
      <c r="AQ34" s="25"/>
      <c r="AR34" s="25"/>
      <c r="AS34" s="25"/>
      <c r="AT34" s="25"/>
      <c r="AU34" s="25"/>
      <c r="AV34" s="25"/>
      <c r="AW34" s="25"/>
      <c r="AX34" s="25"/>
      <c r="AY34" s="25"/>
      <c r="AZ34" s="25"/>
      <c r="BA34" s="25"/>
      <c r="BB34" s="25"/>
      <c r="BC34" s="25"/>
      <c r="BD34" s="25"/>
      <c r="BE34" s="25"/>
      <c r="BF34" s="25"/>
      <c r="BG34" s="25"/>
      <c r="BH34" s="25"/>
      <c r="BI34" s="25"/>
      <c r="BJ34" s="25"/>
      <c r="BK34" s="25"/>
      <c r="BL34" s="25"/>
      <c r="BM34" s="25"/>
      <c r="BN34" s="25"/>
      <c r="BO34" s="25"/>
      <c r="BP34" s="25"/>
      <c r="BQ34" s="25"/>
      <c r="BR34" s="25"/>
      <c r="BS34" s="25"/>
      <c r="BT34" s="25"/>
      <c r="BU34" s="25"/>
    </row>
    <row r="35" ht="15.75" customHeight="1">
      <c r="A35" s="27" t="s">
        <v>373</v>
      </c>
      <c r="B35" s="27" t="s">
        <v>374</v>
      </c>
      <c r="C35" s="7" t="s">
        <v>174</v>
      </c>
      <c r="D35" s="24"/>
      <c r="E35" s="25"/>
      <c r="F35" s="25"/>
      <c r="G35" s="25"/>
      <c r="H35" s="25"/>
      <c r="I35" s="25"/>
      <c r="J35" s="25"/>
      <c r="K35" s="25"/>
      <c r="L35" s="25"/>
      <c r="M35" s="25"/>
      <c r="N35" s="25"/>
      <c r="O35" s="25"/>
      <c r="P35" s="25"/>
      <c r="Q35" s="25"/>
      <c r="R35" s="25"/>
      <c r="S35" s="25"/>
      <c r="T35" s="25"/>
      <c r="U35" s="25"/>
      <c r="V35" s="25"/>
      <c r="W35" s="25"/>
      <c r="X35" s="25"/>
      <c r="Y35" s="25"/>
      <c r="Z35" s="25"/>
      <c r="AA35" s="25"/>
      <c r="AB35" s="25"/>
      <c r="AC35" s="25"/>
      <c r="AD35" s="25"/>
      <c r="AE35" s="25"/>
      <c r="AF35" s="25"/>
      <c r="AG35" s="25"/>
      <c r="AH35" s="25"/>
      <c r="AI35" s="25"/>
      <c r="AJ35" s="25"/>
      <c r="AK35" s="25"/>
      <c r="AL35" s="25"/>
      <c r="AM35" s="25"/>
      <c r="AN35" s="25"/>
      <c r="AO35" s="25"/>
      <c r="AP35" s="25"/>
      <c r="AQ35" s="25"/>
      <c r="AR35" s="25"/>
      <c r="AS35" s="25"/>
      <c r="AT35" s="25"/>
      <c r="AU35" s="25"/>
      <c r="AV35" s="25"/>
      <c r="AW35" s="25"/>
      <c r="AX35" s="25"/>
      <c r="AY35" s="25"/>
      <c r="AZ35" s="25"/>
      <c r="BA35" s="25"/>
      <c r="BB35" s="25"/>
      <c r="BC35" s="25"/>
      <c r="BD35" s="25"/>
      <c r="BE35" s="25"/>
      <c r="BF35" s="25"/>
      <c r="BG35" s="25"/>
      <c r="BH35" s="25"/>
      <c r="BI35" s="25"/>
      <c r="BJ35" s="25"/>
      <c r="BK35" s="25"/>
      <c r="BL35" s="25"/>
      <c r="BM35" s="25"/>
      <c r="BN35" s="25"/>
      <c r="BO35" s="25"/>
      <c r="BP35" s="25"/>
      <c r="BQ35" s="25"/>
      <c r="BR35" s="25"/>
      <c r="BS35" s="25"/>
      <c r="BT35" s="25"/>
      <c r="BU35" s="25"/>
    </row>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sheetData>
  <mergeCells count="2">
    <mergeCell ref="A1:BU1"/>
    <mergeCell ref="A2:BU2"/>
  </mergeCells>
  <printOptions/>
  <pageMargins bottom="0.75" footer="0.0" header="0.0" left="0.7" right="0.7" top="0.75"/>
  <pageSetup orientation="landscape"/>
  <drawing r:id="rId1"/>
  <tableParts count="1">
    <tablePart r:id="rId3"/>
  </tableParts>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0.1" defaultRowHeight="15.0"/>
  <cols>
    <col customWidth="1" min="1" max="1" width="19.2"/>
    <col customWidth="1" min="2" max="2" width="23.2"/>
    <col customWidth="1" min="3" max="3" width="18.4"/>
    <col customWidth="1" min="4" max="4" width="9.6"/>
    <col customWidth="1" min="5" max="5" width="17.6"/>
    <col customWidth="1" min="6" max="8" width="10.4"/>
    <col customWidth="1" min="9" max="9" width="24.0"/>
    <col customWidth="1" min="10" max="10" width="16.0"/>
    <col customWidth="1" min="11" max="11" width="34.4"/>
    <col customWidth="1" min="12" max="17" width="9.6"/>
    <col customWidth="1" min="18" max="18" width="36.8"/>
    <col customWidth="1" min="19" max="19" width="30.4"/>
    <col customWidth="1" min="20" max="20" width="38.4"/>
    <col customWidth="1" min="21" max="26" width="6.9"/>
  </cols>
  <sheetData>
    <row r="1" ht="27.75" customHeight="1">
      <c r="A1" s="29" t="s">
        <v>375</v>
      </c>
    </row>
    <row r="2" ht="37.5" customHeight="1">
      <c r="A2" s="30" t="s">
        <v>376</v>
      </c>
    </row>
    <row r="3">
      <c r="A3" s="4"/>
      <c r="B3" s="4"/>
      <c r="C3" s="4"/>
      <c r="D3" s="4"/>
      <c r="E3" s="4"/>
      <c r="F3" s="4"/>
      <c r="G3" s="4"/>
      <c r="H3" s="4"/>
      <c r="I3" s="4"/>
      <c r="J3" s="4"/>
      <c r="K3" s="4"/>
      <c r="L3" s="4"/>
      <c r="M3" s="4"/>
      <c r="N3" s="4"/>
      <c r="O3" s="4"/>
      <c r="P3" s="4"/>
      <c r="Q3" s="4"/>
      <c r="R3" s="4"/>
      <c r="S3" s="4"/>
      <c r="T3" s="4"/>
    </row>
    <row r="4" ht="37.5" customHeight="1">
      <c r="A4" s="31" t="s">
        <v>4</v>
      </c>
      <c r="B4" s="31" t="s">
        <v>5</v>
      </c>
      <c r="C4" s="31" t="s">
        <v>377</v>
      </c>
      <c r="D4" s="31" t="s">
        <v>9</v>
      </c>
      <c r="E4" s="31" t="s">
        <v>378</v>
      </c>
      <c r="F4" s="31" t="s">
        <v>379</v>
      </c>
      <c r="G4" s="31" t="s">
        <v>380</v>
      </c>
      <c r="H4" s="31" t="s">
        <v>381</v>
      </c>
      <c r="I4" s="31" t="s">
        <v>382</v>
      </c>
      <c r="J4" s="31" t="s">
        <v>383</v>
      </c>
      <c r="K4" s="31" t="s">
        <v>384</v>
      </c>
      <c r="L4" s="31" t="s">
        <v>27</v>
      </c>
      <c r="M4" s="31" t="s">
        <v>385</v>
      </c>
      <c r="N4" s="31" t="s">
        <v>30</v>
      </c>
      <c r="O4" s="31" t="s">
        <v>386</v>
      </c>
      <c r="P4" s="31" t="s">
        <v>387</v>
      </c>
      <c r="Q4" s="31" t="s">
        <v>388</v>
      </c>
      <c r="R4" s="31" t="s">
        <v>389</v>
      </c>
      <c r="S4" s="31" t="s">
        <v>390</v>
      </c>
      <c r="T4" s="31" t="s">
        <v>391</v>
      </c>
    </row>
    <row r="5">
      <c r="A5" s="32" t="s">
        <v>392</v>
      </c>
      <c r="B5" s="32" t="s">
        <v>393</v>
      </c>
      <c r="C5" s="32" t="s">
        <v>394</v>
      </c>
      <c r="D5" s="33">
        <v>46072.0</v>
      </c>
      <c r="E5" s="34" t="s">
        <v>395</v>
      </c>
      <c r="F5" s="34" t="s">
        <v>396</v>
      </c>
      <c r="G5" s="34">
        <v>1048576.0</v>
      </c>
      <c r="H5" s="34">
        <v>65536.0</v>
      </c>
      <c r="I5" s="34" t="s">
        <v>397</v>
      </c>
      <c r="J5" s="34" t="s">
        <v>398</v>
      </c>
      <c r="K5" s="34" t="s">
        <v>399</v>
      </c>
      <c r="L5" s="35">
        <v>2.0</v>
      </c>
      <c r="M5" s="35">
        <v>0.2</v>
      </c>
      <c r="N5" s="35">
        <v>12.0</v>
      </c>
      <c r="O5" s="35">
        <v>4.0</v>
      </c>
      <c r="P5" s="35">
        <v>18.0</v>
      </c>
      <c r="Q5" s="34" t="s">
        <v>96</v>
      </c>
      <c r="R5" s="34" t="s">
        <v>400</v>
      </c>
      <c r="S5" s="34" t="s">
        <v>401</v>
      </c>
      <c r="T5" s="34" t="s">
        <v>402</v>
      </c>
    </row>
    <row r="6">
      <c r="A6" s="32" t="s">
        <v>403</v>
      </c>
      <c r="B6" s="32" t="s">
        <v>404</v>
      </c>
      <c r="C6" s="32" t="s">
        <v>252</v>
      </c>
      <c r="D6" s="33">
        <v>46161.0</v>
      </c>
      <c r="E6" s="34" t="s">
        <v>405</v>
      </c>
      <c r="F6" s="34" t="s">
        <v>396</v>
      </c>
      <c r="G6" s="34">
        <v>1048576.0</v>
      </c>
      <c r="H6" s="34">
        <v>65536.0</v>
      </c>
      <c r="I6" s="34" t="s">
        <v>397</v>
      </c>
      <c r="J6" s="34" t="s">
        <v>398</v>
      </c>
      <c r="K6" s="34" t="s">
        <v>406</v>
      </c>
      <c r="L6" s="35">
        <v>1.5</v>
      </c>
      <c r="M6" s="35">
        <v>0.15</v>
      </c>
      <c r="N6" s="35">
        <v>9.0</v>
      </c>
      <c r="O6" s="35"/>
      <c r="P6" s="35"/>
      <c r="Q6" s="34" t="s">
        <v>86</v>
      </c>
      <c r="R6" s="34" t="s">
        <v>407</v>
      </c>
      <c r="S6" s="34" t="s">
        <v>408</v>
      </c>
      <c r="T6" s="34" t="s">
        <v>409</v>
      </c>
    </row>
    <row r="7">
      <c r="A7" s="32" t="s">
        <v>410</v>
      </c>
      <c r="B7" s="32" t="s">
        <v>411</v>
      </c>
      <c r="C7" s="32" t="s">
        <v>412</v>
      </c>
      <c r="D7" s="33">
        <v>46008.0</v>
      </c>
      <c r="E7" s="34" t="s">
        <v>413</v>
      </c>
      <c r="F7" s="34" t="s">
        <v>396</v>
      </c>
      <c r="G7" s="34">
        <v>1048576.0</v>
      </c>
      <c r="H7" s="34">
        <v>65536.0</v>
      </c>
      <c r="I7" s="34" t="s">
        <v>397</v>
      </c>
      <c r="J7" s="34" t="s">
        <v>414</v>
      </c>
      <c r="K7" s="34" t="s">
        <v>415</v>
      </c>
      <c r="L7" s="35">
        <v>0.5</v>
      </c>
      <c r="M7" s="35">
        <v>0.05</v>
      </c>
      <c r="N7" s="35">
        <v>3.0</v>
      </c>
      <c r="O7" s="35"/>
      <c r="P7" s="35"/>
      <c r="Q7" s="34" t="s">
        <v>86</v>
      </c>
      <c r="R7" s="34" t="s">
        <v>416</v>
      </c>
      <c r="S7" s="34" t="s">
        <v>417</v>
      </c>
      <c r="T7" s="34" t="s">
        <v>418</v>
      </c>
    </row>
    <row r="8">
      <c r="A8" s="32" t="s">
        <v>248</v>
      </c>
      <c r="B8" s="32" t="s">
        <v>249</v>
      </c>
      <c r="C8" s="32" t="s">
        <v>252</v>
      </c>
      <c r="D8" s="33">
        <v>46149.0</v>
      </c>
      <c r="E8" s="34" t="s">
        <v>419</v>
      </c>
      <c r="F8" s="34" t="s">
        <v>396</v>
      </c>
      <c r="G8" s="34">
        <v>1048576.0</v>
      </c>
      <c r="H8" s="34">
        <v>65536.0</v>
      </c>
      <c r="I8" s="34" t="s">
        <v>397</v>
      </c>
      <c r="J8" s="34" t="s">
        <v>414</v>
      </c>
      <c r="K8" s="34" t="s">
        <v>420</v>
      </c>
      <c r="L8" s="35">
        <v>0.25</v>
      </c>
      <c r="M8" s="35">
        <v>0.025</v>
      </c>
      <c r="N8" s="35">
        <v>1.5</v>
      </c>
      <c r="O8" s="35"/>
      <c r="P8" s="35"/>
      <c r="Q8" s="34" t="s">
        <v>86</v>
      </c>
      <c r="R8" s="34" t="s">
        <v>421</v>
      </c>
      <c r="S8" s="34" t="s">
        <v>261</v>
      </c>
      <c r="T8" s="34" t="s">
        <v>422</v>
      </c>
    </row>
    <row r="9">
      <c r="A9" s="32" t="s">
        <v>423</v>
      </c>
      <c r="B9" s="32" t="s">
        <v>424</v>
      </c>
      <c r="C9" s="32" t="s">
        <v>425</v>
      </c>
      <c r="D9" s="33">
        <v>45825.0</v>
      </c>
      <c r="E9" s="34" t="s">
        <v>426</v>
      </c>
      <c r="F9" s="34" t="s">
        <v>396</v>
      </c>
      <c r="G9" s="34">
        <v>1048576.0</v>
      </c>
      <c r="H9" s="34">
        <v>65536.0</v>
      </c>
      <c r="I9" s="34" t="s">
        <v>397</v>
      </c>
      <c r="J9" s="34" t="s">
        <v>427</v>
      </c>
      <c r="K9" s="34" t="s">
        <v>428</v>
      </c>
      <c r="L9" s="35">
        <v>1.25</v>
      </c>
      <c r="M9" s="35">
        <v>0.125</v>
      </c>
      <c r="N9" s="35">
        <v>10.0</v>
      </c>
      <c r="O9" s="35">
        <v>2.5</v>
      </c>
      <c r="P9" s="35">
        <v>15.0</v>
      </c>
      <c r="Q9" s="34" t="s">
        <v>86</v>
      </c>
      <c r="R9" s="34" t="s">
        <v>429</v>
      </c>
      <c r="S9" s="34" t="s">
        <v>430</v>
      </c>
      <c r="T9" s="34" t="s">
        <v>431</v>
      </c>
    </row>
    <row r="10">
      <c r="A10" s="32" t="s">
        <v>432</v>
      </c>
      <c r="B10" s="32" t="s">
        <v>433</v>
      </c>
      <c r="C10" s="32" t="s">
        <v>425</v>
      </c>
      <c r="D10" s="33">
        <v>45825.0</v>
      </c>
      <c r="E10" s="34" t="s">
        <v>434</v>
      </c>
      <c r="F10" s="34" t="s">
        <v>396</v>
      </c>
      <c r="G10" s="34">
        <v>1048576.0</v>
      </c>
      <c r="H10" s="34">
        <v>65536.0</v>
      </c>
      <c r="I10" s="34" t="s">
        <v>397</v>
      </c>
      <c r="J10" s="34" t="s">
        <v>435</v>
      </c>
      <c r="K10" s="34" t="s">
        <v>436</v>
      </c>
      <c r="L10" s="35">
        <v>0.3</v>
      </c>
      <c r="M10" s="35">
        <v>0.03</v>
      </c>
      <c r="N10" s="35">
        <v>2.5</v>
      </c>
      <c r="O10" s="35"/>
      <c r="P10" s="35"/>
      <c r="Q10" s="34" t="s">
        <v>86</v>
      </c>
      <c r="R10" s="34" t="s">
        <v>437</v>
      </c>
      <c r="S10" s="34" t="s">
        <v>438</v>
      </c>
      <c r="T10" s="34" t="s">
        <v>439</v>
      </c>
    </row>
    <row r="11">
      <c r="A11" s="32" t="s">
        <v>440</v>
      </c>
      <c r="B11" s="32" t="s">
        <v>441</v>
      </c>
      <c r="C11" s="32" t="s">
        <v>425</v>
      </c>
      <c r="D11" s="33">
        <v>45860.0</v>
      </c>
      <c r="E11" s="34" t="s">
        <v>442</v>
      </c>
      <c r="F11" s="34" t="s">
        <v>396</v>
      </c>
      <c r="G11" s="34">
        <v>1048576.0</v>
      </c>
      <c r="H11" s="34">
        <v>65536.0</v>
      </c>
      <c r="I11" s="34" t="s">
        <v>397</v>
      </c>
      <c r="J11" s="34" t="s">
        <v>443</v>
      </c>
      <c r="K11" s="34" t="s">
        <v>436</v>
      </c>
      <c r="L11" s="35">
        <v>0.1</v>
      </c>
      <c r="M11" s="35">
        <v>0.01</v>
      </c>
      <c r="N11" s="35">
        <v>0.4</v>
      </c>
      <c r="O11" s="35"/>
      <c r="P11" s="35"/>
      <c r="Q11" s="34" t="s">
        <v>86</v>
      </c>
      <c r="R11" s="34" t="s">
        <v>444</v>
      </c>
      <c r="S11" s="34" t="s">
        <v>445</v>
      </c>
      <c r="T11" s="34" t="s">
        <v>446</v>
      </c>
    </row>
    <row r="12">
      <c r="A12" s="32" t="s">
        <v>266</v>
      </c>
      <c r="B12" s="32" t="s">
        <v>267</v>
      </c>
      <c r="C12" s="32" t="s">
        <v>270</v>
      </c>
      <c r="D12" s="33">
        <v>46114.0</v>
      </c>
      <c r="E12" s="34" t="s">
        <v>447</v>
      </c>
      <c r="F12" s="34" t="s">
        <v>448</v>
      </c>
      <c r="G12" s="34">
        <v>262144.0</v>
      </c>
      <c r="H12" s="34"/>
      <c r="I12" s="34" t="s">
        <v>449</v>
      </c>
      <c r="J12" s="34" t="s">
        <v>450</v>
      </c>
      <c r="K12" s="34" t="s">
        <v>451</v>
      </c>
      <c r="L12" s="35">
        <v>0.0</v>
      </c>
      <c r="M12" s="35">
        <v>0.0</v>
      </c>
      <c r="N12" s="35">
        <v>0.0</v>
      </c>
      <c r="O12" s="35"/>
      <c r="P12" s="35"/>
      <c r="Q12" s="34" t="s">
        <v>452</v>
      </c>
      <c r="R12" s="34" t="s">
        <v>453</v>
      </c>
      <c r="S12" s="34" t="s">
        <v>280</v>
      </c>
      <c r="T12" s="34" t="s">
        <v>454</v>
      </c>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T1"/>
    <mergeCell ref="A2:T2"/>
  </mergeCells>
  <printOptions/>
  <pageMargins bottom="0.75" footer="0.0" header="0.0" left="0.7" right="0.7" top="0.75"/>
  <pageSetup orientation="landscape"/>
  <drawing r:id="rId1"/>
  <tableParts count="1">
    <tablePart r:id="rId3"/>
  </tableParts>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0.1" defaultRowHeight="15.0"/>
  <cols>
    <col customWidth="1" min="1" max="1" width="9.6"/>
    <col customWidth="1" min="2" max="2" width="20.0"/>
    <col customWidth="1" min="3" max="3" width="12.8"/>
    <col customWidth="1" min="4" max="4" width="19.2"/>
    <col customWidth="1" min="5" max="5" width="24.0"/>
    <col customWidth="1" min="6" max="7" width="8.8"/>
    <col customWidth="1" min="8" max="8" width="9.6"/>
    <col customWidth="1" min="9" max="9" width="25.6"/>
    <col customWidth="1" min="10" max="10" width="20.0"/>
    <col customWidth="1" min="11" max="11" width="33.6"/>
    <col customWidth="1" min="12" max="12" width="41.6"/>
    <col customWidth="1" min="13" max="13" width="9.6"/>
    <col customWidth="1" min="14" max="26" width="6.9"/>
  </cols>
  <sheetData>
    <row r="1" ht="27.75" customHeight="1">
      <c r="A1" s="1" t="s">
        <v>455</v>
      </c>
    </row>
    <row r="2" ht="39.75" customHeight="1">
      <c r="A2" s="36" t="s">
        <v>456</v>
      </c>
    </row>
    <row r="3">
      <c r="A3" s="4"/>
      <c r="B3" s="4"/>
      <c r="C3" s="4"/>
      <c r="D3" s="4"/>
      <c r="E3" s="4"/>
      <c r="F3" s="4"/>
      <c r="G3" s="4"/>
      <c r="H3" s="4"/>
      <c r="I3" s="4"/>
      <c r="J3" s="4"/>
      <c r="K3" s="4"/>
      <c r="L3" s="4"/>
      <c r="M3" s="4"/>
    </row>
    <row r="4" ht="37.5" customHeight="1">
      <c r="A4" s="31" t="s">
        <v>2</v>
      </c>
      <c r="B4" s="31" t="s">
        <v>4</v>
      </c>
      <c r="C4" s="31" t="s">
        <v>457</v>
      </c>
      <c r="D4" s="31" t="s">
        <v>458</v>
      </c>
      <c r="E4" s="31" t="s">
        <v>459</v>
      </c>
      <c r="F4" s="31" t="s">
        <v>460</v>
      </c>
      <c r="G4" s="31" t="s">
        <v>461</v>
      </c>
      <c r="H4" s="31" t="s">
        <v>462</v>
      </c>
      <c r="I4" s="31" t="s">
        <v>463</v>
      </c>
      <c r="J4" s="31" t="s">
        <v>464</v>
      </c>
      <c r="K4" s="31" t="s">
        <v>465</v>
      </c>
      <c r="L4" s="31" t="s">
        <v>391</v>
      </c>
      <c r="M4" s="31" t="s">
        <v>73</v>
      </c>
    </row>
    <row r="5">
      <c r="A5" s="34" t="s">
        <v>246</v>
      </c>
      <c r="B5" s="34" t="s">
        <v>392</v>
      </c>
      <c r="C5" s="34" t="s">
        <v>466</v>
      </c>
      <c r="D5" s="34" t="s">
        <v>37</v>
      </c>
      <c r="E5" s="34" t="s">
        <v>467</v>
      </c>
      <c r="F5" s="37">
        <v>54.2</v>
      </c>
      <c r="G5" s="34" t="s">
        <v>468</v>
      </c>
      <c r="H5" s="34" t="s">
        <v>86</v>
      </c>
      <c r="I5" s="34" t="s">
        <v>469</v>
      </c>
      <c r="J5" s="34" t="s">
        <v>470</v>
      </c>
      <c r="K5" s="34" t="s">
        <v>263</v>
      </c>
      <c r="L5" s="34" t="s">
        <v>471</v>
      </c>
      <c r="M5" s="38">
        <v>46215.0</v>
      </c>
    </row>
    <row r="6">
      <c r="A6" s="34" t="s">
        <v>246</v>
      </c>
      <c r="B6" s="34" t="s">
        <v>392</v>
      </c>
      <c r="C6" s="34" t="s">
        <v>472</v>
      </c>
      <c r="D6" s="34" t="s">
        <v>473</v>
      </c>
      <c r="E6" s="34" t="s">
        <v>474</v>
      </c>
      <c r="F6" s="37">
        <v>70.3</v>
      </c>
      <c r="G6" s="34" t="s">
        <v>468</v>
      </c>
      <c r="H6" s="34" t="s">
        <v>86</v>
      </c>
      <c r="I6" s="34" t="s">
        <v>38</v>
      </c>
      <c r="J6" s="34" t="s">
        <v>470</v>
      </c>
      <c r="K6" s="34" t="s">
        <v>263</v>
      </c>
      <c r="L6" s="34"/>
      <c r="M6" s="38">
        <v>46215.0</v>
      </c>
    </row>
    <row r="7">
      <c r="A7" s="34" t="s">
        <v>246</v>
      </c>
      <c r="B7" s="34" t="s">
        <v>392</v>
      </c>
      <c r="C7" s="34" t="s">
        <v>475</v>
      </c>
      <c r="D7" s="34" t="s">
        <v>43</v>
      </c>
      <c r="E7" s="34" t="s">
        <v>476</v>
      </c>
      <c r="F7" s="37">
        <v>78.2</v>
      </c>
      <c r="G7" s="34" t="s">
        <v>468</v>
      </c>
      <c r="H7" s="34" t="s">
        <v>86</v>
      </c>
      <c r="I7" s="34" t="s">
        <v>43</v>
      </c>
      <c r="J7" s="34" t="s">
        <v>470</v>
      </c>
      <c r="K7" s="34" t="s">
        <v>263</v>
      </c>
      <c r="L7" s="34"/>
      <c r="M7" s="38">
        <v>46215.0</v>
      </c>
    </row>
    <row r="8">
      <c r="A8" s="34" t="s">
        <v>246</v>
      </c>
      <c r="B8" s="34" t="s">
        <v>392</v>
      </c>
      <c r="C8" s="34" t="s">
        <v>477</v>
      </c>
      <c r="D8" s="34" t="s">
        <v>478</v>
      </c>
      <c r="E8" s="34" t="s">
        <v>476</v>
      </c>
      <c r="F8" s="37">
        <v>76.2</v>
      </c>
      <c r="G8" s="34" t="s">
        <v>468</v>
      </c>
      <c r="H8" s="34" t="s">
        <v>86</v>
      </c>
      <c r="I8" s="34" t="s">
        <v>478</v>
      </c>
      <c r="J8" s="34" t="s">
        <v>470</v>
      </c>
      <c r="K8" s="34" t="s">
        <v>263</v>
      </c>
      <c r="L8" s="34"/>
      <c r="M8" s="38">
        <v>46215.0</v>
      </c>
    </row>
    <row r="9">
      <c r="A9" s="34" t="s">
        <v>246</v>
      </c>
      <c r="B9" s="34" t="s">
        <v>392</v>
      </c>
      <c r="C9" s="34" t="s">
        <v>479</v>
      </c>
      <c r="D9" s="34" t="s">
        <v>480</v>
      </c>
      <c r="E9" s="34" t="s">
        <v>481</v>
      </c>
      <c r="F9" s="37">
        <v>84.9</v>
      </c>
      <c r="G9" s="34" t="s">
        <v>468</v>
      </c>
      <c r="H9" s="34" t="s">
        <v>86</v>
      </c>
      <c r="I9" s="34" t="s">
        <v>482</v>
      </c>
      <c r="J9" s="34" t="s">
        <v>470</v>
      </c>
      <c r="K9" s="34" t="s">
        <v>263</v>
      </c>
      <c r="L9" s="34"/>
      <c r="M9" s="38">
        <v>46215.0</v>
      </c>
    </row>
    <row r="10">
      <c r="A10" s="34" t="s">
        <v>246</v>
      </c>
      <c r="B10" s="34" t="s">
        <v>392</v>
      </c>
      <c r="C10" s="34" t="s">
        <v>479</v>
      </c>
      <c r="D10" s="34" t="s">
        <v>480</v>
      </c>
      <c r="E10" s="34" t="s">
        <v>483</v>
      </c>
      <c r="F10" s="37">
        <v>26.3</v>
      </c>
      <c r="G10" s="34" t="s">
        <v>468</v>
      </c>
      <c r="H10" s="34" t="s">
        <v>86</v>
      </c>
      <c r="I10" s="34" t="s">
        <v>484</v>
      </c>
      <c r="J10" s="34" t="s">
        <v>470</v>
      </c>
      <c r="K10" s="34" t="s">
        <v>263</v>
      </c>
      <c r="L10" s="34"/>
      <c r="M10" s="38">
        <v>46215.0</v>
      </c>
    </row>
    <row r="11">
      <c r="A11" s="34" t="s">
        <v>246</v>
      </c>
      <c r="B11" s="34" t="s">
        <v>392</v>
      </c>
      <c r="C11" s="34" t="s">
        <v>485</v>
      </c>
      <c r="D11" s="34" t="s">
        <v>486</v>
      </c>
      <c r="E11" s="34" t="s">
        <v>487</v>
      </c>
      <c r="F11" s="37">
        <v>44.4</v>
      </c>
      <c r="G11" s="34" t="s">
        <v>468</v>
      </c>
      <c r="H11" s="34" t="s">
        <v>86</v>
      </c>
      <c r="I11" s="34" t="s">
        <v>488</v>
      </c>
      <c r="J11" s="34" t="s">
        <v>470</v>
      </c>
      <c r="K11" s="34" t="s">
        <v>263</v>
      </c>
      <c r="L11" s="34"/>
      <c r="M11" s="38">
        <v>46215.0</v>
      </c>
    </row>
    <row r="12">
      <c r="A12" s="34" t="s">
        <v>246</v>
      </c>
      <c r="B12" s="34" t="s">
        <v>392</v>
      </c>
      <c r="C12" s="34" t="s">
        <v>383</v>
      </c>
      <c r="D12" s="34" t="s">
        <v>489</v>
      </c>
      <c r="E12" s="34" t="s">
        <v>476</v>
      </c>
      <c r="F12" s="37">
        <v>77.1</v>
      </c>
      <c r="G12" s="34" t="s">
        <v>468</v>
      </c>
      <c r="H12" s="34" t="s">
        <v>86</v>
      </c>
      <c r="I12" s="34" t="s">
        <v>489</v>
      </c>
      <c r="J12" s="34" t="s">
        <v>470</v>
      </c>
      <c r="K12" s="34" t="s">
        <v>263</v>
      </c>
      <c r="L12" s="34"/>
      <c r="M12" s="38">
        <v>46215.0</v>
      </c>
    </row>
    <row r="13">
      <c r="A13" s="34" t="s">
        <v>246</v>
      </c>
      <c r="B13" s="34" t="s">
        <v>403</v>
      </c>
      <c r="C13" s="34" t="s">
        <v>466</v>
      </c>
      <c r="D13" s="34" t="s">
        <v>37</v>
      </c>
      <c r="E13" s="34" t="s">
        <v>490</v>
      </c>
      <c r="F13" s="37">
        <v>55.1</v>
      </c>
      <c r="G13" s="34" t="s">
        <v>468</v>
      </c>
      <c r="H13" s="34" t="s">
        <v>86</v>
      </c>
      <c r="I13" s="34" t="s">
        <v>469</v>
      </c>
      <c r="J13" s="34" t="s">
        <v>470</v>
      </c>
      <c r="K13" s="34" t="s">
        <v>263</v>
      </c>
      <c r="L13" s="34"/>
      <c r="M13" s="38">
        <v>46215.0</v>
      </c>
    </row>
    <row r="14">
      <c r="A14" s="34" t="s">
        <v>246</v>
      </c>
      <c r="B14" s="34" t="s">
        <v>403</v>
      </c>
      <c r="C14" s="34" t="s">
        <v>472</v>
      </c>
      <c r="D14" s="34" t="s">
        <v>473</v>
      </c>
      <c r="E14" s="34" t="s">
        <v>474</v>
      </c>
      <c r="F14" s="37">
        <v>76.2</v>
      </c>
      <c r="G14" s="34" t="s">
        <v>468</v>
      </c>
      <c r="H14" s="34" t="s">
        <v>86</v>
      </c>
      <c r="I14" s="34" t="s">
        <v>38</v>
      </c>
      <c r="J14" s="34" t="s">
        <v>470</v>
      </c>
      <c r="K14" s="34" t="s">
        <v>263</v>
      </c>
      <c r="L14" s="34"/>
      <c r="M14" s="38">
        <v>46215.0</v>
      </c>
    </row>
    <row r="15">
      <c r="A15" s="34" t="s">
        <v>246</v>
      </c>
      <c r="B15" s="34" t="s">
        <v>403</v>
      </c>
      <c r="C15" s="34" t="s">
        <v>475</v>
      </c>
      <c r="D15" s="34" t="s">
        <v>43</v>
      </c>
      <c r="E15" s="34" t="s">
        <v>476</v>
      </c>
      <c r="F15" s="37">
        <v>83.6</v>
      </c>
      <c r="G15" s="34" t="s">
        <v>468</v>
      </c>
      <c r="H15" s="34" t="s">
        <v>86</v>
      </c>
      <c r="I15" s="34" t="s">
        <v>43</v>
      </c>
      <c r="J15" s="34" t="s">
        <v>470</v>
      </c>
      <c r="K15" s="34" t="s">
        <v>263</v>
      </c>
      <c r="L15" s="34"/>
      <c r="M15" s="38">
        <v>46215.0</v>
      </c>
    </row>
    <row r="16">
      <c r="A16" s="34" t="s">
        <v>246</v>
      </c>
      <c r="B16" s="34" t="s">
        <v>403</v>
      </c>
      <c r="C16" s="34" t="s">
        <v>475</v>
      </c>
      <c r="D16" s="34" t="s">
        <v>42</v>
      </c>
      <c r="E16" s="34" t="s">
        <v>476</v>
      </c>
      <c r="F16" s="37">
        <v>56.5</v>
      </c>
      <c r="G16" s="34" t="s">
        <v>468</v>
      </c>
      <c r="H16" s="34" t="s">
        <v>86</v>
      </c>
      <c r="I16" s="34" t="s">
        <v>42</v>
      </c>
      <c r="J16" s="34" t="s">
        <v>470</v>
      </c>
      <c r="K16" s="34" t="s">
        <v>263</v>
      </c>
      <c r="L16" s="34"/>
      <c r="M16" s="38">
        <v>46215.0</v>
      </c>
    </row>
    <row r="17">
      <c r="A17" s="34" t="s">
        <v>246</v>
      </c>
      <c r="B17" s="34" t="s">
        <v>403</v>
      </c>
      <c r="C17" s="34" t="s">
        <v>477</v>
      </c>
      <c r="D17" s="34" t="s">
        <v>478</v>
      </c>
      <c r="E17" s="34" t="s">
        <v>476</v>
      </c>
      <c r="F17" s="37">
        <v>78.4</v>
      </c>
      <c r="G17" s="34" t="s">
        <v>468</v>
      </c>
      <c r="H17" s="34" t="s">
        <v>86</v>
      </c>
      <c r="I17" s="34" t="s">
        <v>478</v>
      </c>
      <c r="J17" s="34" t="s">
        <v>470</v>
      </c>
      <c r="K17" s="34" t="s">
        <v>263</v>
      </c>
      <c r="L17" s="34"/>
      <c r="M17" s="38">
        <v>46215.0</v>
      </c>
    </row>
    <row r="18">
      <c r="A18" s="34" t="s">
        <v>246</v>
      </c>
      <c r="B18" s="34" t="s">
        <v>403</v>
      </c>
      <c r="C18" s="34" t="s">
        <v>491</v>
      </c>
      <c r="D18" s="34" t="s">
        <v>492</v>
      </c>
      <c r="E18" s="34" t="s">
        <v>493</v>
      </c>
      <c r="F18" s="37">
        <v>57.9</v>
      </c>
      <c r="G18" s="34" t="s">
        <v>468</v>
      </c>
      <c r="H18" s="34" t="s">
        <v>86</v>
      </c>
      <c r="I18" s="34" t="s">
        <v>494</v>
      </c>
      <c r="J18" s="34" t="s">
        <v>470</v>
      </c>
      <c r="K18" s="34" t="s">
        <v>263</v>
      </c>
      <c r="L18" s="34"/>
      <c r="M18" s="38">
        <v>46215.0</v>
      </c>
    </row>
    <row r="19">
      <c r="A19" s="34" t="s">
        <v>246</v>
      </c>
      <c r="B19" s="34" t="s">
        <v>403</v>
      </c>
      <c r="C19" s="34" t="s">
        <v>495</v>
      </c>
      <c r="D19" s="34" t="s">
        <v>496</v>
      </c>
      <c r="E19" s="34" t="s">
        <v>476</v>
      </c>
      <c r="F19" s="37">
        <v>84.2</v>
      </c>
      <c r="G19" s="34" t="s">
        <v>468</v>
      </c>
      <c r="H19" s="34" t="s">
        <v>86</v>
      </c>
      <c r="I19" s="34" t="s">
        <v>496</v>
      </c>
      <c r="J19" s="34" t="s">
        <v>470</v>
      </c>
      <c r="K19" s="34" t="s">
        <v>263</v>
      </c>
      <c r="L19" s="34"/>
      <c r="M19" s="38">
        <v>46215.0</v>
      </c>
    </row>
    <row r="20">
      <c r="A20" s="34" t="s">
        <v>246</v>
      </c>
      <c r="B20" s="34" t="s">
        <v>403</v>
      </c>
      <c r="C20" s="34" t="s">
        <v>495</v>
      </c>
      <c r="D20" s="34" t="s">
        <v>497</v>
      </c>
      <c r="E20" s="34" t="s">
        <v>476</v>
      </c>
      <c r="F20" s="37">
        <v>83.6</v>
      </c>
      <c r="G20" s="34" t="s">
        <v>468</v>
      </c>
      <c r="H20" s="34" t="s">
        <v>86</v>
      </c>
      <c r="I20" s="34" t="s">
        <v>497</v>
      </c>
      <c r="J20" s="34" t="s">
        <v>470</v>
      </c>
      <c r="K20" s="34" t="s">
        <v>263</v>
      </c>
      <c r="L20" s="34"/>
      <c r="M20" s="38">
        <v>46215.0</v>
      </c>
    </row>
    <row r="21" ht="15.75" customHeight="1">
      <c r="A21" s="34" t="s">
        <v>246</v>
      </c>
      <c r="B21" s="34" t="s">
        <v>403</v>
      </c>
      <c r="C21" s="34" t="s">
        <v>479</v>
      </c>
      <c r="D21" s="34" t="s">
        <v>480</v>
      </c>
      <c r="E21" s="34" t="s">
        <v>481</v>
      </c>
      <c r="F21" s="37">
        <v>77.3</v>
      </c>
      <c r="G21" s="34" t="s">
        <v>468</v>
      </c>
      <c r="H21" s="34" t="s">
        <v>86</v>
      </c>
      <c r="I21" s="34" t="s">
        <v>482</v>
      </c>
      <c r="J21" s="34" t="s">
        <v>470</v>
      </c>
      <c r="K21" s="34" t="s">
        <v>263</v>
      </c>
      <c r="L21" s="34"/>
      <c r="M21" s="38">
        <v>46215.0</v>
      </c>
    </row>
    <row r="22" ht="15.75" customHeight="1">
      <c r="A22" s="34" t="s">
        <v>246</v>
      </c>
      <c r="B22" s="34" t="s">
        <v>403</v>
      </c>
      <c r="C22" s="34" t="s">
        <v>479</v>
      </c>
      <c r="D22" s="34" t="s">
        <v>480</v>
      </c>
      <c r="E22" s="34" t="s">
        <v>483</v>
      </c>
      <c r="F22" s="37">
        <v>26.6</v>
      </c>
      <c r="G22" s="34" t="s">
        <v>468</v>
      </c>
      <c r="H22" s="34" t="s">
        <v>86</v>
      </c>
      <c r="I22" s="34" t="s">
        <v>484</v>
      </c>
      <c r="J22" s="34" t="s">
        <v>470</v>
      </c>
      <c r="K22" s="34" t="s">
        <v>263</v>
      </c>
      <c r="L22" s="34"/>
      <c r="M22" s="38">
        <v>46215.0</v>
      </c>
    </row>
    <row r="23" ht="15.75" customHeight="1">
      <c r="A23" s="34" t="s">
        <v>246</v>
      </c>
      <c r="B23" s="34" t="s">
        <v>403</v>
      </c>
      <c r="C23" s="34" t="s">
        <v>485</v>
      </c>
      <c r="D23" s="34" t="s">
        <v>486</v>
      </c>
      <c r="E23" s="34" t="s">
        <v>487</v>
      </c>
      <c r="F23" s="37">
        <v>40.2</v>
      </c>
      <c r="G23" s="34" t="s">
        <v>468</v>
      </c>
      <c r="H23" s="34" t="s">
        <v>86</v>
      </c>
      <c r="I23" s="34" t="s">
        <v>488</v>
      </c>
      <c r="J23" s="34" t="s">
        <v>470</v>
      </c>
      <c r="K23" s="34" t="s">
        <v>263</v>
      </c>
      <c r="L23" s="34"/>
      <c r="M23" s="38">
        <v>46215.0</v>
      </c>
    </row>
    <row r="24" ht="15.75" customHeight="1">
      <c r="A24" s="34" t="s">
        <v>246</v>
      </c>
      <c r="B24" s="34" t="s">
        <v>403</v>
      </c>
      <c r="C24" s="34" t="s">
        <v>383</v>
      </c>
      <c r="D24" s="34" t="s">
        <v>489</v>
      </c>
      <c r="E24" s="34" t="s">
        <v>476</v>
      </c>
      <c r="F24" s="37">
        <v>72.1</v>
      </c>
      <c r="G24" s="34" t="s">
        <v>468</v>
      </c>
      <c r="H24" s="34" t="s">
        <v>86</v>
      </c>
      <c r="I24" s="34" t="s">
        <v>489</v>
      </c>
      <c r="J24" s="34" t="s">
        <v>470</v>
      </c>
      <c r="K24" s="34" t="s">
        <v>263</v>
      </c>
      <c r="L24" s="34"/>
      <c r="M24" s="38">
        <v>46215.0</v>
      </c>
    </row>
    <row r="25" ht="15.75" customHeight="1">
      <c r="A25" s="34" t="s">
        <v>246</v>
      </c>
      <c r="B25" s="34" t="s">
        <v>410</v>
      </c>
      <c r="C25" s="34" t="s">
        <v>466</v>
      </c>
      <c r="D25" s="34" t="s">
        <v>37</v>
      </c>
      <c r="E25" s="34" t="s">
        <v>490</v>
      </c>
      <c r="F25" s="37">
        <v>49.6</v>
      </c>
      <c r="G25" s="34" t="s">
        <v>468</v>
      </c>
      <c r="H25" s="34" t="s">
        <v>86</v>
      </c>
      <c r="I25" s="34" t="s">
        <v>469</v>
      </c>
      <c r="J25" s="34" t="s">
        <v>470</v>
      </c>
      <c r="K25" s="34" t="s">
        <v>263</v>
      </c>
      <c r="L25" s="34"/>
      <c r="M25" s="38">
        <v>46215.0</v>
      </c>
    </row>
    <row r="26" ht="15.75" customHeight="1">
      <c r="A26" s="34" t="s">
        <v>246</v>
      </c>
      <c r="B26" s="34" t="s">
        <v>410</v>
      </c>
      <c r="C26" s="34" t="s">
        <v>466</v>
      </c>
      <c r="D26" s="34" t="s">
        <v>41</v>
      </c>
      <c r="E26" s="34" t="s">
        <v>498</v>
      </c>
      <c r="F26" s="37">
        <v>78.0</v>
      </c>
      <c r="G26" s="34" t="s">
        <v>468</v>
      </c>
      <c r="H26" s="34" t="s">
        <v>86</v>
      </c>
      <c r="I26" s="34" t="s">
        <v>499</v>
      </c>
      <c r="J26" s="34" t="s">
        <v>470</v>
      </c>
      <c r="K26" s="34" t="s">
        <v>500</v>
      </c>
      <c r="L26" s="34" t="s">
        <v>501</v>
      </c>
      <c r="M26" s="38">
        <v>46215.0</v>
      </c>
    </row>
    <row r="27" ht="15.75" customHeight="1">
      <c r="A27" s="34" t="s">
        <v>246</v>
      </c>
      <c r="B27" s="34" t="s">
        <v>410</v>
      </c>
      <c r="C27" s="34" t="s">
        <v>472</v>
      </c>
      <c r="D27" s="34" t="s">
        <v>473</v>
      </c>
      <c r="E27" s="34" t="s">
        <v>474</v>
      </c>
      <c r="F27" s="37">
        <v>58.0</v>
      </c>
      <c r="G27" s="34" t="s">
        <v>468</v>
      </c>
      <c r="H27" s="34" t="s">
        <v>86</v>
      </c>
      <c r="I27" s="34" t="s">
        <v>38</v>
      </c>
      <c r="J27" s="34" t="s">
        <v>470</v>
      </c>
      <c r="K27" s="34" t="s">
        <v>263</v>
      </c>
      <c r="L27" s="34"/>
      <c r="M27" s="38">
        <v>46215.0</v>
      </c>
    </row>
    <row r="28" ht="15.75" customHeight="1">
      <c r="A28" s="34" t="s">
        <v>246</v>
      </c>
      <c r="B28" s="34" t="s">
        <v>410</v>
      </c>
      <c r="C28" s="34" t="s">
        <v>475</v>
      </c>
      <c r="D28" s="34" t="s">
        <v>43</v>
      </c>
      <c r="E28" s="34" t="s">
        <v>476</v>
      </c>
      <c r="F28" s="37">
        <v>62.0</v>
      </c>
      <c r="G28" s="34" t="s">
        <v>468</v>
      </c>
      <c r="H28" s="34" t="s">
        <v>86</v>
      </c>
      <c r="I28" s="34" t="s">
        <v>43</v>
      </c>
      <c r="J28" s="34" t="s">
        <v>470</v>
      </c>
      <c r="K28" s="34" t="s">
        <v>263</v>
      </c>
      <c r="L28" s="34"/>
      <c r="M28" s="38">
        <v>46215.0</v>
      </c>
    </row>
    <row r="29" ht="15.75" customHeight="1">
      <c r="A29" s="34" t="s">
        <v>246</v>
      </c>
      <c r="B29" s="34" t="s">
        <v>410</v>
      </c>
      <c r="C29" s="34" t="s">
        <v>475</v>
      </c>
      <c r="D29" s="34" t="s">
        <v>42</v>
      </c>
      <c r="E29" s="34" t="s">
        <v>476</v>
      </c>
      <c r="F29" s="37">
        <v>49.4</v>
      </c>
      <c r="G29" s="34" t="s">
        <v>468</v>
      </c>
      <c r="H29" s="34" t="s">
        <v>86</v>
      </c>
      <c r="I29" s="34" t="s">
        <v>42</v>
      </c>
      <c r="J29" s="34" t="s">
        <v>470</v>
      </c>
      <c r="K29" s="34" t="s">
        <v>263</v>
      </c>
      <c r="L29" s="34"/>
      <c r="M29" s="38">
        <v>46215.0</v>
      </c>
    </row>
    <row r="30" ht="15.75" customHeight="1">
      <c r="A30" s="34" t="s">
        <v>246</v>
      </c>
      <c r="B30" s="34" t="s">
        <v>410</v>
      </c>
      <c r="C30" s="34" t="s">
        <v>477</v>
      </c>
      <c r="D30" s="34" t="s">
        <v>478</v>
      </c>
      <c r="E30" s="34" t="s">
        <v>476</v>
      </c>
      <c r="F30" s="37">
        <v>65.1</v>
      </c>
      <c r="G30" s="34" t="s">
        <v>468</v>
      </c>
      <c r="H30" s="34" t="s">
        <v>86</v>
      </c>
      <c r="I30" s="34" t="s">
        <v>478</v>
      </c>
      <c r="J30" s="34" t="s">
        <v>470</v>
      </c>
      <c r="K30" s="34" t="s">
        <v>263</v>
      </c>
      <c r="L30" s="34"/>
      <c r="M30" s="38">
        <v>46215.0</v>
      </c>
    </row>
    <row r="31" ht="15.75" customHeight="1">
      <c r="A31" s="34" t="s">
        <v>246</v>
      </c>
      <c r="B31" s="34" t="s">
        <v>410</v>
      </c>
      <c r="C31" s="34" t="s">
        <v>479</v>
      </c>
      <c r="D31" s="34" t="s">
        <v>480</v>
      </c>
      <c r="E31" s="34" t="s">
        <v>481</v>
      </c>
      <c r="F31" s="37">
        <v>67.2</v>
      </c>
      <c r="G31" s="34" t="s">
        <v>468</v>
      </c>
      <c r="H31" s="34" t="s">
        <v>86</v>
      </c>
      <c r="I31" s="34" t="s">
        <v>482</v>
      </c>
      <c r="J31" s="34" t="s">
        <v>470</v>
      </c>
      <c r="K31" s="34" t="s">
        <v>263</v>
      </c>
      <c r="L31" s="34"/>
      <c r="M31" s="38">
        <v>46215.0</v>
      </c>
    </row>
    <row r="32" ht="15.75" customHeight="1">
      <c r="A32" s="34" t="s">
        <v>246</v>
      </c>
      <c r="B32" s="34" t="s">
        <v>410</v>
      </c>
      <c r="C32" s="34" t="s">
        <v>479</v>
      </c>
      <c r="D32" s="34" t="s">
        <v>480</v>
      </c>
      <c r="E32" s="34" t="s">
        <v>483</v>
      </c>
      <c r="F32" s="37">
        <v>22.1</v>
      </c>
      <c r="G32" s="34" t="s">
        <v>468</v>
      </c>
      <c r="H32" s="34" t="s">
        <v>86</v>
      </c>
      <c r="I32" s="34" t="s">
        <v>484</v>
      </c>
      <c r="J32" s="34" t="s">
        <v>470</v>
      </c>
      <c r="K32" s="34" t="s">
        <v>263</v>
      </c>
      <c r="L32" s="34"/>
      <c r="M32" s="38">
        <v>46215.0</v>
      </c>
    </row>
    <row r="33" ht="15.75" customHeight="1">
      <c r="A33" s="34" t="s">
        <v>246</v>
      </c>
      <c r="B33" s="34" t="s">
        <v>410</v>
      </c>
      <c r="C33" s="34" t="s">
        <v>485</v>
      </c>
      <c r="D33" s="34" t="s">
        <v>486</v>
      </c>
      <c r="E33" s="34" t="s">
        <v>487</v>
      </c>
      <c r="F33" s="37">
        <v>33.7</v>
      </c>
      <c r="G33" s="34" t="s">
        <v>468</v>
      </c>
      <c r="H33" s="34" t="s">
        <v>86</v>
      </c>
      <c r="I33" s="34" t="s">
        <v>488</v>
      </c>
      <c r="J33" s="34" t="s">
        <v>470</v>
      </c>
      <c r="K33" s="34" t="s">
        <v>263</v>
      </c>
      <c r="L33" s="34"/>
      <c r="M33" s="38">
        <v>46215.0</v>
      </c>
    </row>
    <row r="34" ht="15.75" customHeight="1">
      <c r="A34" s="34" t="s">
        <v>246</v>
      </c>
      <c r="B34" s="34" t="s">
        <v>410</v>
      </c>
      <c r="C34" s="34" t="s">
        <v>383</v>
      </c>
      <c r="D34" s="34" t="s">
        <v>489</v>
      </c>
      <c r="E34" s="34" t="s">
        <v>476</v>
      </c>
      <c r="F34" s="37">
        <v>33.6</v>
      </c>
      <c r="G34" s="34" t="s">
        <v>468</v>
      </c>
      <c r="H34" s="34" t="s">
        <v>86</v>
      </c>
      <c r="I34" s="34" t="s">
        <v>489</v>
      </c>
      <c r="J34" s="34" t="s">
        <v>470</v>
      </c>
      <c r="K34" s="34" t="s">
        <v>263</v>
      </c>
      <c r="L34" s="34"/>
      <c r="M34" s="38">
        <v>46215.0</v>
      </c>
    </row>
    <row r="35" ht="15.75" customHeight="1">
      <c r="A35" s="34" t="s">
        <v>246</v>
      </c>
      <c r="B35" s="34" t="s">
        <v>248</v>
      </c>
      <c r="C35" s="34" t="s">
        <v>502</v>
      </c>
      <c r="D35" s="34" t="s">
        <v>503</v>
      </c>
      <c r="E35" s="34" t="s">
        <v>504</v>
      </c>
      <c r="F35" s="37">
        <v>363.0</v>
      </c>
      <c r="G35" s="34" t="s">
        <v>505</v>
      </c>
      <c r="H35" s="34" t="s">
        <v>86</v>
      </c>
      <c r="I35" s="34" t="s">
        <v>506</v>
      </c>
      <c r="J35" s="34" t="s">
        <v>470</v>
      </c>
      <c r="K35" s="34" t="s">
        <v>263</v>
      </c>
      <c r="L35" s="34" t="s">
        <v>507</v>
      </c>
      <c r="M35" s="38">
        <v>46215.0</v>
      </c>
    </row>
    <row r="36" ht="15.75" customHeight="1">
      <c r="A36" s="34" t="s">
        <v>246</v>
      </c>
      <c r="B36" s="34" t="s">
        <v>248</v>
      </c>
      <c r="C36" s="34" t="s">
        <v>466</v>
      </c>
      <c r="D36" s="34" t="s">
        <v>508</v>
      </c>
      <c r="E36" s="34" t="s">
        <v>509</v>
      </c>
      <c r="F36" s="37">
        <v>72.0</v>
      </c>
      <c r="G36" s="34" t="s">
        <v>468</v>
      </c>
      <c r="H36" s="34" t="s">
        <v>86</v>
      </c>
      <c r="I36" s="34" t="s">
        <v>510</v>
      </c>
      <c r="J36" s="34" t="s">
        <v>470</v>
      </c>
      <c r="K36" s="34" t="s">
        <v>263</v>
      </c>
      <c r="L36" s="34"/>
      <c r="M36" s="38">
        <v>46215.0</v>
      </c>
    </row>
    <row r="37" ht="15.75" customHeight="1">
      <c r="A37" s="34" t="s">
        <v>246</v>
      </c>
      <c r="B37" s="34" t="s">
        <v>248</v>
      </c>
      <c r="C37" s="34" t="s">
        <v>485</v>
      </c>
      <c r="D37" s="34" t="s">
        <v>45</v>
      </c>
      <c r="E37" s="34" t="s">
        <v>509</v>
      </c>
      <c r="F37" s="37">
        <v>86.9</v>
      </c>
      <c r="G37" s="34" t="s">
        <v>468</v>
      </c>
      <c r="H37" s="34" t="s">
        <v>86</v>
      </c>
      <c r="I37" s="34" t="s">
        <v>45</v>
      </c>
      <c r="J37" s="34" t="s">
        <v>470</v>
      </c>
      <c r="K37" s="34" t="s">
        <v>263</v>
      </c>
      <c r="L37" s="34"/>
      <c r="M37" s="38">
        <v>46215.0</v>
      </c>
    </row>
    <row r="38" ht="15.75" customHeight="1">
      <c r="A38" s="34" t="s">
        <v>246</v>
      </c>
      <c r="B38" s="34" t="s">
        <v>248</v>
      </c>
      <c r="C38" s="34" t="s">
        <v>495</v>
      </c>
      <c r="D38" s="34" t="s">
        <v>497</v>
      </c>
      <c r="E38" s="34" t="s">
        <v>509</v>
      </c>
      <c r="F38" s="37">
        <v>76.8</v>
      </c>
      <c r="G38" s="34" t="s">
        <v>468</v>
      </c>
      <c r="H38" s="34" t="s">
        <v>86</v>
      </c>
      <c r="I38" s="34" t="s">
        <v>497</v>
      </c>
      <c r="J38" s="34" t="s">
        <v>470</v>
      </c>
      <c r="K38" s="34" t="s">
        <v>263</v>
      </c>
      <c r="L38" s="34"/>
      <c r="M38" s="38">
        <v>46215.0</v>
      </c>
    </row>
    <row r="39" ht="15.75" customHeight="1">
      <c r="A39" s="34" t="s">
        <v>246</v>
      </c>
      <c r="B39" s="34" t="s">
        <v>248</v>
      </c>
      <c r="C39" s="34" t="s">
        <v>495</v>
      </c>
      <c r="D39" s="34" t="s">
        <v>496</v>
      </c>
      <c r="E39" s="34" t="s">
        <v>509</v>
      </c>
      <c r="F39" s="37">
        <v>73.2</v>
      </c>
      <c r="G39" s="34" t="s">
        <v>468</v>
      </c>
      <c r="H39" s="34" t="s">
        <v>86</v>
      </c>
      <c r="I39" s="34" t="s">
        <v>496</v>
      </c>
      <c r="J39" s="34" t="s">
        <v>470</v>
      </c>
      <c r="K39" s="34" t="s">
        <v>263</v>
      </c>
      <c r="L39" s="34"/>
      <c r="M39" s="38">
        <v>46215.0</v>
      </c>
    </row>
    <row r="40" ht="15.75" customHeight="1">
      <c r="A40" s="34" t="s">
        <v>246</v>
      </c>
      <c r="B40" s="34" t="s">
        <v>248</v>
      </c>
      <c r="C40" s="34" t="s">
        <v>495</v>
      </c>
      <c r="D40" s="34" t="s">
        <v>511</v>
      </c>
      <c r="E40" s="34" t="s">
        <v>509</v>
      </c>
      <c r="F40" s="37">
        <v>84.8</v>
      </c>
      <c r="G40" s="34" t="s">
        <v>468</v>
      </c>
      <c r="H40" s="34" t="s">
        <v>86</v>
      </c>
      <c r="I40" s="34" t="s">
        <v>511</v>
      </c>
      <c r="J40" s="34" t="s">
        <v>470</v>
      </c>
      <c r="K40" s="34" t="s">
        <v>263</v>
      </c>
      <c r="L40" s="34"/>
      <c r="M40" s="38">
        <v>46215.0</v>
      </c>
    </row>
    <row r="41" ht="15.75" customHeight="1">
      <c r="A41" s="34" t="s">
        <v>246</v>
      </c>
      <c r="B41" s="34" t="s">
        <v>248</v>
      </c>
      <c r="C41" s="34" t="s">
        <v>512</v>
      </c>
      <c r="D41" s="34" t="s">
        <v>513</v>
      </c>
      <c r="E41" s="34" t="s">
        <v>509</v>
      </c>
      <c r="F41" s="37">
        <v>43.3</v>
      </c>
      <c r="G41" s="34" t="s">
        <v>468</v>
      </c>
      <c r="H41" s="34" t="s">
        <v>86</v>
      </c>
      <c r="I41" s="34" t="s">
        <v>513</v>
      </c>
      <c r="J41" s="34" t="s">
        <v>470</v>
      </c>
      <c r="K41" s="34" t="s">
        <v>263</v>
      </c>
      <c r="L41" s="34"/>
      <c r="M41" s="38">
        <v>46215.0</v>
      </c>
    </row>
    <row r="42" ht="15.75" customHeight="1">
      <c r="A42" s="34" t="s">
        <v>246</v>
      </c>
      <c r="B42" s="34" t="s">
        <v>248</v>
      </c>
      <c r="C42" s="34" t="s">
        <v>479</v>
      </c>
      <c r="D42" s="34" t="s">
        <v>480</v>
      </c>
      <c r="E42" s="34" t="s">
        <v>481</v>
      </c>
      <c r="F42" s="37">
        <v>60.1</v>
      </c>
      <c r="G42" s="34" t="s">
        <v>468</v>
      </c>
      <c r="H42" s="34" t="s">
        <v>86</v>
      </c>
      <c r="I42" s="34" t="s">
        <v>482</v>
      </c>
      <c r="J42" s="34" t="s">
        <v>470</v>
      </c>
      <c r="K42" s="34" t="s">
        <v>263</v>
      </c>
      <c r="L42" s="34"/>
      <c r="M42" s="38">
        <v>46215.0</v>
      </c>
    </row>
    <row r="43" ht="15.75" customHeight="1">
      <c r="A43" s="34" t="s">
        <v>246</v>
      </c>
      <c r="B43" s="34" t="s">
        <v>248</v>
      </c>
      <c r="C43" s="34" t="s">
        <v>479</v>
      </c>
      <c r="D43" s="34" t="s">
        <v>480</v>
      </c>
      <c r="E43" s="34" t="s">
        <v>483</v>
      </c>
      <c r="F43" s="37">
        <v>12.3</v>
      </c>
      <c r="G43" s="34" t="s">
        <v>468</v>
      </c>
      <c r="H43" s="34" t="s">
        <v>86</v>
      </c>
      <c r="I43" s="34" t="s">
        <v>484</v>
      </c>
      <c r="J43" s="34" t="s">
        <v>470</v>
      </c>
      <c r="K43" s="34" t="s">
        <v>263</v>
      </c>
      <c r="L43" s="34"/>
      <c r="M43" s="38">
        <v>46215.0</v>
      </c>
    </row>
    <row r="44" ht="15.75" customHeight="1">
      <c r="A44" s="34" t="s">
        <v>246</v>
      </c>
      <c r="B44" s="34" t="s">
        <v>248</v>
      </c>
      <c r="C44" s="34" t="s">
        <v>485</v>
      </c>
      <c r="D44" s="34" t="s">
        <v>486</v>
      </c>
      <c r="E44" s="34" t="s">
        <v>487</v>
      </c>
      <c r="F44" s="37">
        <v>16.0</v>
      </c>
      <c r="G44" s="34" t="s">
        <v>468</v>
      </c>
      <c r="H44" s="34" t="s">
        <v>86</v>
      </c>
      <c r="I44" s="34" t="s">
        <v>488</v>
      </c>
      <c r="J44" s="34" t="s">
        <v>470</v>
      </c>
      <c r="K44" s="34" t="s">
        <v>263</v>
      </c>
      <c r="L44" s="34"/>
      <c r="M44" s="38">
        <v>46215.0</v>
      </c>
    </row>
    <row r="45" ht="15.75" customHeight="1">
      <c r="A45" s="34" t="s">
        <v>246</v>
      </c>
      <c r="B45" s="34" t="s">
        <v>423</v>
      </c>
      <c r="C45" s="34" t="s">
        <v>466</v>
      </c>
      <c r="D45" s="34" t="s">
        <v>41</v>
      </c>
      <c r="E45" s="34" t="s">
        <v>514</v>
      </c>
      <c r="F45" s="37">
        <v>63.8</v>
      </c>
      <c r="G45" s="34" t="s">
        <v>468</v>
      </c>
      <c r="H45" s="34" t="s">
        <v>86</v>
      </c>
      <c r="I45" s="34" t="s">
        <v>515</v>
      </c>
      <c r="J45" s="34" t="s">
        <v>470</v>
      </c>
      <c r="K45" s="34" t="s">
        <v>516</v>
      </c>
      <c r="L45" s="34" t="s">
        <v>517</v>
      </c>
      <c r="M45" s="38">
        <v>46215.0</v>
      </c>
    </row>
    <row r="46" ht="15.75" customHeight="1">
      <c r="A46" s="34" t="s">
        <v>246</v>
      </c>
      <c r="B46" s="34" t="s">
        <v>423</v>
      </c>
      <c r="C46" s="34" t="s">
        <v>485</v>
      </c>
      <c r="D46" s="34" t="s">
        <v>486</v>
      </c>
      <c r="E46" s="34" t="s">
        <v>487</v>
      </c>
      <c r="F46" s="37">
        <v>18.8</v>
      </c>
      <c r="G46" s="34" t="s">
        <v>468</v>
      </c>
      <c r="H46" s="34" t="s">
        <v>86</v>
      </c>
      <c r="I46" s="34" t="s">
        <v>488</v>
      </c>
      <c r="J46" s="34" t="s">
        <v>470</v>
      </c>
      <c r="K46" s="34" t="s">
        <v>516</v>
      </c>
      <c r="L46" s="34"/>
      <c r="M46" s="38">
        <v>46215.0</v>
      </c>
    </row>
    <row r="47" ht="15.75" customHeight="1">
      <c r="A47" s="34" t="s">
        <v>246</v>
      </c>
      <c r="B47" s="34" t="s">
        <v>432</v>
      </c>
      <c r="C47" s="34" t="s">
        <v>466</v>
      </c>
      <c r="D47" s="34" t="s">
        <v>41</v>
      </c>
      <c r="E47" s="34" t="s">
        <v>518</v>
      </c>
      <c r="F47" s="37">
        <v>48.9</v>
      </c>
      <c r="G47" s="34" t="s">
        <v>468</v>
      </c>
      <c r="H47" s="34" t="s">
        <v>86</v>
      </c>
      <c r="I47" s="34" t="s">
        <v>519</v>
      </c>
      <c r="J47" s="34" t="s">
        <v>470</v>
      </c>
      <c r="K47" s="34" t="s">
        <v>520</v>
      </c>
      <c r="L47" s="34" t="s">
        <v>521</v>
      </c>
      <c r="M47" s="38">
        <v>46215.0</v>
      </c>
    </row>
    <row r="48" ht="15.75" customHeight="1">
      <c r="A48" s="34" t="s">
        <v>246</v>
      </c>
      <c r="B48" s="34" t="s">
        <v>440</v>
      </c>
      <c r="C48" s="34" t="s">
        <v>502</v>
      </c>
      <c r="D48" s="34" t="s">
        <v>503</v>
      </c>
      <c r="E48" s="34" t="s">
        <v>522</v>
      </c>
      <c r="F48" s="37">
        <v>366.0</v>
      </c>
      <c r="G48" s="34" t="s">
        <v>505</v>
      </c>
      <c r="H48" s="34" t="s">
        <v>86</v>
      </c>
      <c r="I48" s="34" t="s">
        <v>506</v>
      </c>
      <c r="J48" s="34" t="s">
        <v>470</v>
      </c>
      <c r="K48" s="34" t="s">
        <v>263</v>
      </c>
      <c r="L48" s="34"/>
      <c r="M48" s="38">
        <v>46215.0</v>
      </c>
    </row>
    <row r="49" ht="15.75" customHeight="1">
      <c r="A49" s="34" t="s">
        <v>246</v>
      </c>
      <c r="B49" s="34" t="s">
        <v>440</v>
      </c>
      <c r="C49" s="34" t="s">
        <v>466</v>
      </c>
      <c r="D49" s="34" t="s">
        <v>508</v>
      </c>
      <c r="E49" s="34" t="s">
        <v>443</v>
      </c>
      <c r="F49" s="37">
        <v>34.3</v>
      </c>
      <c r="G49" s="34" t="s">
        <v>468</v>
      </c>
      <c r="H49" s="34" t="s">
        <v>86</v>
      </c>
      <c r="I49" s="34" t="s">
        <v>523</v>
      </c>
      <c r="J49" s="34" t="s">
        <v>470</v>
      </c>
      <c r="K49" s="34" t="s">
        <v>263</v>
      </c>
      <c r="L49" s="34" t="s">
        <v>524</v>
      </c>
      <c r="M49" s="38">
        <v>46215.0</v>
      </c>
    </row>
    <row r="50" ht="15.75" customHeight="1">
      <c r="A50" s="34" t="s">
        <v>246</v>
      </c>
      <c r="B50" s="34" t="s">
        <v>440</v>
      </c>
      <c r="C50" s="34" t="s">
        <v>485</v>
      </c>
      <c r="D50" s="34" t="s">
        <v>45</v>
      </c>
      <c r="E50" s="34" t="s">
        <v>443</v>
      </c>
      <c r="F50" s="37">
        <v>66.7</v>
      </c>
      <c r="G50" s="34" t="s">
        <v>468</v>
      </c>
      <c r="H50" s="34" t="s">
        <v>86</v>
      </c>
      <c r="I50" s="34" t="s">
        <v>525</v>
      </c>
      <c r="J50" s="34" t="s">
        <v>470</v>
      </c>
      <c r="K50" s="34" t="s">
        <v>263</v>
      </c>
      <c r="L50" s="34"/>
      <c r="M50" s="38">
        <v>46215.0</v>
      </c>
    </row>
    <row r="51" ht="15.75" customHeight="1">
      <c r="A51" s="34" t="s">
        <v>246</v>
      </c>
      <c r="B51" s="34" t="s">
        <v>440</v>
      </c>
      <c r="C51" s="34" t="s">
        <v>495</v>
      </c>
      <c r="D51" s="34" t="s">
        <v>526</v>
      </c>
      <c r="E51" s="34" t="s">
        <v>443</v>
      </c>
      <c r="F51" s="37">
        <v>51.0</v>
      </c>
      <c r="G51" s="34" t="s">
        <v>468</v>
      </c>
      <c r="H51" s="34" t="s">
        <v>86</v>
      </c>
      <c r="I51" s="34" t="s">
        <v>527</v>
      </c>
      <c r="J51" s="34" t="s">
        <v>470</v>
      </c>
      <c r="K51" s="34" t="s">
        <v>263</v>
      </c>
      <c r="L51" s="34"/>
      <c r="M51" s="38">
        <v>46215.0</v>
      </c>
    </row>
    <row r="52" ht="15.75" customHeight="1">
      <c r="A52" s="34" t="s">
        <v>246</v>
      </c>
      <c r="B52" s="34" t="s">
        <v>440</v>
      </c>
      <c r="C52" s="34" t="s">
        <v>495</v>
      </c>
      <c r="D52" s="34" t="s">
        <v>496</v>
      </c>
      <c r="E52" s="34" t="s">
        <v>443</v>
      </c>
      <c r="F52" s="37">
        <v>55.5</v>
      </c>
      <c r="G52" s="34" t="s">
        <v>468</v>
      </c>
      <c r="H52" s="34" t="s">
        <v>86</v>
      </c>
      <c r="I52" s="34" t="s">
        <v>528</v>
      </c>
      <c r="J52" s="34" t="s">
        <v>470</v>
      </c>
      <c r="K52" s="34" t="s">
        <v>263</v>
      </c>
      <c r="L52" s="34"/>
      <c r="M52" s="38">
        <v>46215.0</v>
      </c>
    </row>
    <row r="53" ht="15.75" customHeight="1">
      <c r="A53" s="34" t="s">
        <v>246</v>
      </c>
      <c r="B53" s="34" t="s">
        <v>440</v>
      </c>
      <c r="C53" s="34" t="s">
        <v>495</v>
      </c>
      <c r="D53" s="34" t="s">
        <v>511</v>
      </c>
      <c r="E53" s="34" t="s">
        <v>443</v>
      </c>
      <c r="F53" s="37">
        <v>60.7</v>
      </c>
      <c r="G53" s="34" t="s">
        <v>468</v>
      </c>
      <c r="H53" s="34" t="s">
        <v>86</v>
      </c>
      <c r="I53" s="34" t="s">
        <v>529</v>
      </c>
      <c r="J53" s="34" t="s">
        <v>470</v>
      </c>
      <c r="K53" s="34" t="s">
        <v>263</v>
      </c>
      <c r="L53" s="34"/>
      <c r="M53" s="38">
        <v>46215.0</v>
      </c>
    </row>
    <row r="54" ht="15.75" customHeight="1">
      <c r="A54" s="34" t="s">
        <v>246</v>
      </c>
      <c r="B54" s="34" t="s">
        <v>440</v>
      </c>
      <c r="C54" s="34" t="s">
        <v>512</v>
      </c>
      <c r="D54" s="34" t="s">
        <v>530</v>
      </c>
      <c r="E54" s="34" t="s">
        <v>443</v>
      </c>
      <c r="F54" s="37">
        <v>11.5</v>
      </c>
      <c r="G54" s="34" t="s">
        <v>468</v>
      </c>
      <c r="H54" s="34" t="s">
        <v>86</v>
      </c>
      <c r="I54" s="34" t="s">
        <v>531</v>
      </c>
      <c r="J54" s="34" t="s">
        <v>470</v>
      </c>
      <c r="K54" s="34" t="s">
        <v>263</v>
      </c>
      <c r="L54" s="34"/>
      <c r="M54" s="38">
        <v>46215.0</v>
      </c>
    </row>
    <row r="55" ht="15.75" customHeight="1">
      <c r="A55" s="34" t="s">
        <v>246</v>
      </c>
      <c r="B55" s="34" t="s">
        <v>440</v>
      </c>
      <c r="C55" s="34" t="s">
        <v>479</v>
      </c>
      <c r="D55" s="34" t="s">
        <v>480</v>
      </c>
      <c r="E55" s="34" t="s">
        <v>532</v>
      </c>
      <c r="F55" s="37">
        <v>30.6</v>
      </c>
      <c r="G55" s="34" t="s">
        <v>468</v>
      </c>
      <c r="H55" s="34" t="s">
        <v>86</v>
      </c>
      <c r="I55" s="34" t="s">
        <v>533</v>
      </c>
      <c r="J55" s="34" t="s">
        <v>470</v>
      </c>
      <c r="K55" s="34" t="s">
        <v>263</v>
      </c>
      <c r="L55" s="34"/>
      <c r="M55" s="38">
        <v>46215.0</v>
      </c>
    </row>
    <row r="56" ht="15.75" customHeight="1">
      <c r="A56" s="34" t="s">
        <v>246</v>
      </c>
      <c r="B56" s="34" t="s">
        <v>440</v>
      </c>
      <c r="C56" s="34" t="s">
        <v>479</v>
      </c>
      <c r="D56" s="34" t="s">
        <v>480</v>
      </c>
      <c r="E56" s="34" t="s">
        <v>534</v>
      </c>
      <c r="F56" s="37">
        <v>5.4</v>
      </c>
      <c r="G56" s="34" t="s">
        <v>468</v>
      </c>
      <c r="H56" s="34" t="s">
        <v>86</v>
      </c>
      <c r="I56" s="34" t="s">
        <v>535</v>
      </c>
      <c r="J56" s="34" t="s">
        <v>470</v>
      </c>
      <c r="K56" s="34" t="s">
        <v>263</v>
      </c>
      <c r="L56" s="34"/>
      <c r="M56" s="38">
        <v>46215.0</v>
      </c>
    </row>
    <row r="57" ht="15.75" customHeight="1">
      <c r="A57" s="34" t="s">
        <v>246</v>
      </c>
      <c r="B57" s="34" t="s">
        <v>440</v>
      </c>
      <c r="C57" s="34" t="s">
        <v>485</v>
      </c>
      <c r="D57" s="34" t="s">
        <v>486</v>
      </c>
      <c r="E57" s="34" t="s">
        <v>443</v>
      </c>
      <c r="F57" s="37">
        <v>6.9</v>
      </c>
      <c r="G57" s="34" t="s">
        <v>468</v>
      </c>
      <c r="H57" s="34" t="s">
        <v>86</v>
      </c>
      <c r="I57" s="34" t="s">
        <v>536</v>
      </c>
      <c r="J57" s="34" t="s">
        <v>470</v>
      </c>
      <c r="K57" s="34" t="s">
        <v>263</v>
      </c>
      <c r="L57" s="34"/>
      <c r="M57" s="38">
        <v>46215.0</v>
      </c>
    </row>
    <row r="58" ht="15.75" customHeight="1">
      <c r="A58" s="34" t="s">
        <v>246</v>
      </c>
      <c r="B58" s="34" t="s">
        <v>266</v>
      </c>
      <c r="C58" s="34" t="s">
        <v>466</v>
      </c>
      <c r="D58" s="34" t="s">
        <v>508</v>
      </c>
      <c r="E58" s="34" t="s">
        <v>537</v>
      </c>
      <c r="F58" s="37">
        <v>80.0</v>
      </c>
      <c r="G58" s="34" t="s">
        <v>468</v>
      </c>
      <c r="H58" s="34" t="s">
        <v>86</v>
      </c>
      <c r="I58" s="34" t="s">
        <v>538</v>
      </c>
      <c r="J58" s="34" t="s">
        <v>470</v>
      </c>
      <c r="K58" s="34" t="s">
        <v>280</v>
      </c>
      <c r="L58" s="34" t="s">
        <v>539</v>
      </c>
      <c r="M58" s="38">
        <v>46215.0</v>
      </c>
    </row>
    <row r="59" ht="15.75" customHeight="1">
      <c r="A59" s="34" t="s">
        <v>246</v>
      </c>
      <c r="B59" s="34" t="s">
        <v>266</v>
      </c>
      <c r="C59" s="34" t="s">
        <v>466</v>
      </c>
      <c r="D59" s="34" t="s">
        <v>540</v>
      </c>
      <c r="E59" s="34" t="s">
        <v>541</v>
      </c>
      <c r="F59" s="37">
        <v>2150.0</v>
      </c>
      <c r="G59" s="34" t="s">
        <v>541</v>
      </c>
      <c r="H59" s="34" t="s">
        <v>86</v>
      </c>
      <c r="I59" s="34" t="s">
        <v>542</v>
      </c>
      <c r="J59" s="34" t="s">
        <v>470</v>
      </c>
      <c r="K59" s="34" t="s">
        <v>280</v>
      </c>
      <c r="L59" s="34"/>
      <c r="M59" s="38">
        <v>46215.0</v>
      </c>
    </row>
    <row r="60" ht="15.75" customHeight="1">
      <c r="A60" s="34" t="s">
        <v>246</v>
      </c>
      <c r="B60" s="34" t="s">
        <v>266</v>
      </c>
      <c r="C60" s="34" t="s">
        <v>485</v>
      </c>
      <c r="D60" s="34" t="s">
        <v>45</v>
      </c>
      <c r="E60" s="34" t="s">
        <v>543</v>
      </c>
      <c r="F60" s="37">
        <v>84.3</v>
      </c>
      <c r="G60" s="34" t="s">
        <v>468</v>
      </c>
      <c r="H60" s="34" t="s">
        <v>86</v>
      </c>
      <c r="I60" s="34" t="s">
        <v>45</v>
      </c>
      <c r="J60" s="34" t="s">
        <v>470</v>
      </c>
      <c r="K60" s="34" t="s">
        <v>280</v>
      </c>
      <c r="L60" s="34"/>
      <c r="M60" s="38">
        <v>46215.0</v>
      </c>
    </row>
    <row r="61" ht="15.75" customHeight="1">
      <c r="A61" s="34" t="s">
        <v>246</v>
      </c>
      <c r="B61" s="34" t="s">
        <v>266</v>
      </c>
      <c r="C61" s="34" t="s">
        <v>491</v>
      </c>
      <c r="D61" s="34" t="s">
        <v>544</v>
      </c>
      <c r="E61" s="34" t="s">
        <v>545</v>
      </c>
      <c r="F61" s="37">
        <v>76.9</v>
      </c>
      <c r="G61" s="34" t="s">
        <v>468</v>
      </c>
      <c r="H61" s="34" t="s">
        <v>86</v>
      </c>
      <c r="I61" s="34" t="s">
        <v>546</v>
      </c>
      <c r="J61" s="34" t="s">
        <v>470</v>
      </c>
      <c r="K61" s="34" t="s">
        <v>280</v>
      </c>
      <c r="L61" s="34"/>
      <c r="M61" s="38">
        <v>46215.0</v>
      </c>
    </row>
    <row r="62" ht="15.75" customHeight="1">
      <c r="A62" s="34" t="s">
        <v>246</v>
      </c>
      <c r="B62" s="34" t="s">
        <v>266</v>
      </c>
      <c r="C62" s="34" t="s">
        <v>485</v>
      </c>
      <c r="D62" s="34" t="s">
        <v>486</v>
      </c>
      <c r="E62" s="34" t="s">
        <v>487</v>
      </c>
      <c r="F62" s="37">
        <v>19.5</v>
      </c>
      <c r="G62" s="34" t="s">
        <v>468</v>
      </c>
      <c r="H62" s="34" t="s">
        <v>86</v>
      </c>
      <c r="I62" s="34" t="s">
        <v>488</v>
      </c>
      <c r="J62" s="34" t="s">
        <v>470</v>
      </c>
      <c r="K62" s="34" t="s">
        <v>280</v>
      </c>
      <c r="L62" s="34"/>
      <c r="M62" s="38">
        <v>46215.0</v>
      </c>
    </row>
    <row r="63" ht="15.75" customHeight="1">
      <c r="A63" s="34" t="s">
        <v>246</v>
      </c>
      <c r="B63" s="34" t="s">
        <v>266</v>
      </c>
      <c r="C63" s="34" t="s">
        <v>547</v>
      </c>
      <c r="D63" s="34" t="s">
        <v>486</v>
      </c>
      <c r="E63" s="34" t="s">
        <v>548</v>
      </c>
      <c r="F63" s="37">
        <v>26.5</v>
      </c>
      <c r="G63" s="34" t="s">
        <v>468</v>
      </c>
      <c r="H63" s="34" t="s">
        <v>86</v>
      </c>
      <c r="I63" s="34" t="s">
        <v>549</v>
      </c>
      <c r="J63" s="34" t="s">
        <v>470</v>
      </c>
      <c r="K63" s="34" t="s">
        <v>280</v>
      </c>
      <c r="L63" s="34"/>
      <c r="M63" s="38">
        <v>46215.0</v>
      </c>
    </row>
    <row r="64" ht="15.75" customHeight="1">
      <c r="A64" s="34" t="s">
        <v>246</v>
      </c>
      <c r="B64" s="34" t="s">
        <v>266</v>
      </c>
      <c r="C64" s="34" t="s">
        <v>485</v>
      </c>
      <c r="D64" s="34" t="s">
        <v>550</v>
      </c>
      <c r="E64" s="34" t="s">
        <v>543</v>
      </c>
      <c r="F64" s="37">
        <v>85.2</v>
      </c>
      <c r="G64" s="34" t="s">
        <v>468</v>
      </c>
      <c r="H64" s="34" t="s">
        <v>86</v>
      </c>
      <c r="I64" s="34" t="s">
        <v>550</v>
      </c>
      <c r="J64" s="34" t="s">
        <v>470</v>
      </c>
      <c r="K64" s="34" t="s">
        <v>280</v>
      </c>
      <c r="L64" s="34"/>
      <c r="M64" s="38">
        <v>46215.0</v>
      </c>
    </row>
    <row r="65" ht="15.75" customHeight="1">
      <c r="A65" s="34" t="s">
        <v>246</v>
      </c>
      <c r="B65" s="34" t="s">
        <v>266</v>
      </c>
      <c r="C65" s="34" t="s">
        <v>383</v>
      </c>
      <c r="D65" s="34" t="s">
        <v>551</v>
      </c>
      <c r="E65" s="34" t="s">
        <v>487</v>
      </c>
      <c r="F65" s="37">
        <v>89.2</v>
      </c>
      <c r="G65" s="34" t="s">
        <v>468</v>
      </c>
      <c r="H65" s="34" t="s">
        <v>86</v>
      </c>
      <c r="I65" s="34" t="s">
        <v>552</v>
      </c>
      <c r="J65" s="34" t="s">
        <v>470</v>
      </c>
      <c r="K65" s="34" t="s">
        <v>280</v>
      </c>
      <c r="L65" s="34"/>
      <c r="M65" s="38">
        <v>46215.0</v>
      </c>
    </row>
    <row r="66" ht="15.75" customHeight="1">
      <c r="A66" s="34" t="s">
        <v>246</v>
      </c>
      <c r="B66" s="34" t="s">
        <v>266</v>
      </c>
      <c r="C66" s="34" t="s">
        <v>495</v>
      </c>
      <c r="D66" s="34" t="s">
        <v>497</v>
      </c>
      <c r="E66" s="34" t="s">
        <v>543</v>
      </c>
      <c r="F66" s="37">
        <v>76.9</v>
      </c>
      <c r="G66" s="34" t="s">
        <v>468</v>
      </c>
      <c r="H66" s="34" t="s">
        <v>86</v>
      </c>
      <c r="I66" s="34" t="s">
        <v>497</v>
      </c>
      <c r="J66" s="34" t="s">
        <v>470</v>
      </c>
      <c r="K66" s="34" t="s">
        <v>280</v>
      </c>
      <c r="L66" s="34"/>
      <c r="M66" s="38">
        <v>46215.0</v>
      </c>
    </row>
    <row r="67" ht="15.75" customHeight="1">
      <c r="A67" s="34" t="s">
        <v>246</v>
      </c>
      <c r="B67" s="34" t="s">
        <v>266</v>
      </c>
      <c r="C67" s="34" t="s">
        <v>479</v>
      </c>
      <c r="D67" s="34" t="s">
        <v>553</v>
      </c>
      <c r="E67" s="34" t="s">
        <v>481</v>
      </c>
      <c r="F67" s="37">
        <v>66.4</v>
      </c>
      <c r="G67" s="34" t="s">
        <v>468</v>
      </c>
      <c r="H67" s="34" t="s">
        <v>86</v>
      </c>
      <c r="I67" s="34" t="s">
        <v>554</v>
      </c>
      <c r="J67" s="34" t="s">
        <v>470</v>
      </c>
      <c r="K67" s="34" t="s">
        <v>280</v>
      </c>
      <c r="L67" s="34"/>
      <c r="M67" s="38">
        <v>46215.0</v>
      </c>
    </row>
    <row r="68" ht="15.75" customHeight="1">
      <c r="A68" s="39" t="s">
        <v>555</v>
      </c>
      <c r="B68" s="39" t="s">
        <v>556</v>
      </c>
      <c r="C68" s="39" t="s">
        <v>466</v>
      </c>
      <c r="D68" s="39" t="s">
        <v>41</v>
      </c>
      <c r="E68" s="39" t="s">
        <v>557</v>
      </c>
      <c r="F68" s="40">
        <v>77.6</v>
      </c>
      <c r="G68" s="39" t="s">
        <v>468</v>
      </c>
      <c r="H68" s="39" t="s">
        <v>86</v>
      </c>
      <c r="I68" s="39" t="s">
        <v>558</v>
      </c>
      <c r="J68" s="39" t="s">
        <v>559</v>
      </c>
      <c r="K68" s="39" t="s">
        <v>560</v>
      </c>
      <c r="L68" s="39" t="s">
        <v>561</v>
      </c>
      <c r="M68" s="41">
        <v>46215.0</v>
      </c>
    </row>
    <row r="69" ht="15.75" customHeight="1">
      <c r="A69" s="39" t="s">
        <v>555</v>
      </c>
      <c r="B69" s="39" t="s">
        <v>556</v>
      </c>
      <c r="C69" s="39" t="s">
        <v>491</v>
      </c>
      <c r="D69" s="39" t="s">
        <v>562</v>
      </c>
      <c r="E69" s="39" t="s">
        <v>557</v>
      </c>
      <c r="F69" s="40">
        <v>91.4</v>
      </c>
      <c r="G69" s="39" t="s">
        <v>468</v>
      </c>
      <c r="H69" s="39" t="s">
        <v>86</v>
      </c>
      <c r="I69" s="39" t="s">
        <v>563</v>
      </c>
      <c r="J69" s="39" t="s">
        <v>559</v>
      </c>
      <c r="K69" s="39" t="s">
        <v>560</v>
      </c>
      <c r="L69" s="39" t="s">
        <v>564</v>
      </c>
      <c r="M69" s="41">
        <v>46215.0</v>
      </c>
    </row>
    <row r="70" ht="15.75" customHeight="1">
      <c r="A70" s="39" t="s">
        <v>555</v>
      </c>
      <c r="B70" s="39" t="s">
        <v>565</v>
      </c>
      <c r="C70" s="39" t="s">
        <v>466</v>
      </c>
      <c r="D70" s="39" t="s">
        <v>508</v>
      </c>
      <c r="E70" s="39" t="s">
        <v>566</v>
      </c>
      <c r="F70" s="40"/>
      <c r="G70" s="39" t="s">
        <v>567</v>
      </c>
      <c r="H70" s="39" t="s">
        <v>86</v>
      </c>
      <c r="I70" s="39" t="s">
        <v>568</v>
      </c>
      <c r="J70" s="39" t="s">
        <v>559</v>
      </c>
      <c r="K70" s="39" t="s">
        <v>569</v>
      </c>
      <c r="L70" s="39" t="s">
        <v>570</v>
      </c>
      <c r="M70" s="41">
        <v>46215.0</v>
      </c>
    </row>
    <row r="71" ht="15.75" customHeight="1">
      <c r="A71" s="39" t="s">
        <v>555</v>
      </c>
      <c r="B71" s="39" t="s">
        <v>565</v>
      </c>
      <c r="C71" s="39" t="s">
        <v>571</v>
      </c>
      <c r="D71" s="39" t="s">
        <v>572</v>
      </c>
      <c r="E71" s="39" t="s">
        <v>573</v>
      </c>
      <c r="F71" s="40">
        <v>40.0</v>
      </c>
      <c r="G71" s="39" t="s">
        <v>574</v>
      </c>
      <c r="H71" s="39" t="s">
        <v>86</v>
      </c>
      <c r="I71" s="39" t="s">
        <v>575</v>
      </c>
      <c r="J71" s="39" t="s">
        <v>559</v>
      </c>
      <c r="K71" s="39" t="s">
        <v>569</v>
      </c>
      <c r="L71" s="39" t="s">
        <v>576</v>
      </c>
      <c r="M71" s="41">
        <v>46215.0</v>
      </c>
    </row>
    <row r="72" ht="15.75" customHeight="1">
      <c r="A72" s="39" t="s">
        <v>555</v>
      </c>
      <c r="B72" s="39" t="s">
        <v>565</v>
      </c>
      <c r="C72" s="39" t="s">
        <v>577</v>
      </c>
      <c r="D72" s="39" t="s">
        <v>578</v>
      </c>
      <c r="E72" s="39" t="s">
        <v>573</v>
      </c>
      <c r="F72" s="40">
        <v>3.0</v>
      </c>
      <c r="G72" s="39" t="s">
        <v>579</v>
      </c>
      <c r="H72" s="39" t="s">
        <v>86</v>
      </c>
      <c r="I72" s="39" t="s">
        <v>575</v>
      </c>
      <c r="J72" s="39" t="s">
        <v>559</v>
      </c>
      <c r="K72" s="39" t="s">
        <v>569</v>
      </c>
      <c r="L72" s="39" t="s">
        <v>580</v>
      </c>
      <c r="M72" s="41">
        <v>46215.0</v>
      </c>
    </row>
    <row r="73" ht="15.75" customHeight="1">
      <c r="A73" s="39" t="s">
        <v>555</v>
      </c>
      <c r="B73" s="39" t="s">
        <v>581</v>
      </c>
      <c r="C73" s="39" t="s">
        <v>466</v>
      </c>
      <c r="D73" s="39" t="s">
        <v>582</v>
      </c>
      <c r="E73" s="39" t="s">
        <v>583</v>
      </c>
      <c r="F73" s="40"/>
      <c r="G73" s="39" t="s">
        <v>567</v>
      </c>
      <c r="H73" s="39" t="s">
        <v>86</v>
      </c>
      <c r="I73" s="39" t="s">
        <v>584</v>
      </c>
      <c r="J73" s="39" t="s">
        <v>559</v>
      </c>
      <c r="K73" s="39" t="s">
        <v>585</v>
      </c>
      <c r="L73" s="39" t="s">
        <v>586</v>
      </c>
      <c r="M73" s="41">
        <v>46215.0</v>
      </c>
    </row>
    <row r="74" ht="15.75" customHeight="1">
      <c r="A74" s="39" t="s">
        <v>555</v>
      </c>
      <c r="B74" s="39" t="s">
        <v>587</v>
      </c>
      <c r="C74" s="39" t="s">
        <v>588</v>
      </c>
      <c r="D74" s="39" t="s">
        <v>589</v>
      </c>
      <c r="E74" s="39" t="s">
        <v>590</v>
      </c>
      <c r="F74" s="40">
        <v>30.0</v>
      </c>
      <c r="G74" s="39" t="s">
        <v>591</v>
      </c>
      <c r="H74" s="39" t="s">
        <v>86</v>
      </c>
      <c r="I74" s="39" t="s">
        <v>592</v>
      </c>
      <c r="J74" s="39" t="s">
        <v>559</v>
      </c>
      <c r="K74" s="39" t="s">
        <v>593</v>
      </c>
      <c r="L74" s="39" t="s">
        <v>594</v>
      </c>
      <c r="M74" s="41">
        <v>46215.0</v>
      </c>
    </row>
    <row r="75" ht="15.75" customHeight="1">
      <c r="A75" s="39" t="s">
        <v>555</v>
      </c>
      <c r="B75" s="39" t="s">
        <v>587</v>
      </c>
      <c r="C75" s="39" t="s">
        <v>588</v>
      </c>
      <c r="D75" s="39" t="s">
        <v>595</v>
      </c>
      <c r="E75" s="39" t="s">
        <v>590</v>
      </c>
      <c r="F75" s="40">
        <v>10.0</v>
      </c>
      <c r="G75" s="39" t="s">
        <v>591</v>
      </c>
      <c r="H75" s="39" t="s">
        <v>86</v>
      </c>
      <c r="I75" s="39" t="s">
        <v>592</v>
      </c>
      <c r="J75" s="39" t="s">
        <v>559</v>
      </c>
      <c r="K75" s="39" t="s">
        <v>593</v>
      </c>
      <c r="L75" s="39" t="s">
        <v>596</v>
      </c>
      <c r="M75" s="41">
        <v>46215.0</v>
      </c>
    </row>
    <row r="76" ht="15.75" customHeight="1">
      <c r="A76" s="39" t="s">
        <v>555</v>
      </c>
      <c r="B76" s="39" t="s">
        <v>587</v>
      </c>
      <c r="C76" s="39" t="s">
        <v>588</v>
      </c>
      <c r="D76" s="39" t="s">
        <v>597</v>
      </c>
      <c r="E76" s="39" t="s">
        <v>590</v>
      </c>
      <c r="F76" s="40">
        <v>50.0</v>
      </c>
      <c r="G76" s="39" t="s">
        <v>574</v>
      </c>
      <c r="H76" s="39" t="s">
        <v>86</v>
      </c>
      <c r="I76" s="39" t="s">
        <v>592</v>
      </c>
      <c r="J76" s="39" t="s">
        <v>559</v>
      </c>
      <c r="K76" s="39" t="s">
        <v>593</v>
      </c>
      <c r="L76" s="39" t="s">
        <v>598</v>
      </c>
      <c r="M76" s="41">
        <v>46215.0</v>
      </c>
    </row>
    <row r="77" ht="15.75" customHeight="1">
      <c r="A77" s="39" t="s">
        <v>555</v>
      </c>
      <c r="B77" s="39" t="s">
        <v>599</v>
      </c>
      <c r="C77" s="39" t="s">
        <v>466</v>
      </c>
      <c r="D77" s="39" t="s">
        <v>41</v>
      </c>
      <c r="E77" s="39" t="s">
        <v>557</v>
      </c>
      <c r="F77" s="40">
        <v>72.2</v>
      </c>
      <c r="G77" s="39" t="s">
        <v>468</v>
      </c>
      <c r="H77" s="39" t="s">
        <v>86</v>
      </c>
      <c r="I77" s="39" t="s">
        <v>558</v>
      </c>
      <c r="J77" s="39" t="s">
        <v>559</v>
      </c>
      <c r="K77" s="39" t="s">
        <v>600</v>
      </c>
      <c r="L77" s="39" t="s">
        <v>601</v>
      </c>
      <c r="M77" s="41">
        <v>46215.0</v>
      </c>
    </row>
    <row r="78" ht="15.75" customHeight="1">
      <c r="A78" s="39" t="s">
        <v>283</v>
      </c>
      <c r="B78" s="39" t="s">
        <v>285</v>
      </c>
      <c r="C78" s="39" t="s">
        <v>466</v>
      </c>
      <c r="D78" s="39" t="s">
        <v>41</v>
      </c>
      <c r="E78" s="39" t="s">
        <v>602</v>
      </c>
      <c r="F78" s="40">
        <v>71.9</v>
      </c>
      <c r="G78" s="39" t="s">
        <v>468</v>
      </c>
      <c r="H78" s="39" t="s">
        <v>86</v>
      </c>
      <c r="I78" s="39" t="s">
        <v>603</v>
      </c>
      <c r="J78" s="39" t="s">
        <v>559</v>
      </c>
      <c r="K78" s="39" t="s">
        <v>299</v>
      </c>
      <c r="L78" s="39" t="s">
        <v>604</v>
      </c>
      <c r="M78" s="41">
        <v>46215.0</v>
      </c>
    </row>
    <row r="79" ht="15.75" customHeight="1">
      <c r="A79" s="39" t="s">
        <v>283</v>
      </c>
      <c r="B79" s="39" t="s">
        <v>285</v>
      </c>
      <c r="C79" s="39" t="s">
        <v>466</v>
      </c>
      <c r="D79" s="39" t="s">
        <v>41</v>
      </c>
      <c r="E79" s="39" t="s">
        <v>605</v>
      </c>
      <c r="F79" s="40">
        <v>69.7</v>
      </c>
      <c r="G79" s="39" t="s">
        <v>468</v>
      </c>
      <c r="H79" s="39" t="s">
        <v>86</v>
      </c>
      <c r="I79" s="39" t="s">
        <v>606</v>
      </c>
      <c r="J79" s="39" t="s">
        <v>559</v>
      </c>
      <c r="K79" s="39" t="s">
        <v>299</v>
      </c>
      <c r="L79" s="39" t="s">
        <v>607</v>
      </c>
      <c r="M79" s="41">
        <v>46215.0</v>
      </c>
    </row>
    <row r="80" ht="15.75" customHeight="1">
      <c r="A80" s="39" t="s">
        <v>283</v>
      </c>
      <c r="B80" s="39" t="s">
        <v>285</v>
      </c>
      <c r="C80" s="39" t="s">
        <v>472</v>
      </c>
      <c r="D80" s="39" t="s">
        <v>473</v>
      </c>
      <c r="E80" s="39" t="s">
        <v>608</v>
      </c>
      <c r="F80" s="40">
        <v>56.4</v>
      </c>
      <c r="G80" s="39" t="s">
        <v>468</v>
      </c>
      <c r="H80" s="39" t="s">
        <v>86</v>
      </c>
      <c r="I80" s="39" t="s">
        <v>609</v>
      </c>
      <c r="J80" s="39" t="s">
        <v>559</v>
      </c>
      <c r="K80" s="39" t="s">
        <v>299</v>
      </c>
      <c r="L80" s="39"/>
      <c r="M80" s="41">
        <v>46215.0</v>
      </c>
    </row>
    <row r="81" ht="15.75" customHeight="1">
      <c r="A81" s="39" t="s">
        <v>283</v>
      </c>
      <c r="B81" s="39" t="s">
        <v>285</v>
      </c>
      <c r="C81" s="39" t="s">
        <v>472</v>
      </c>
      <c r="D81" s="39" t="s">
        <v>473</v>
      </c>
      <c r="E81" s="39" t="s">
        <v>610</v>
      </c>
      <c r="F81" s="40">
        <v>53.9</v>
      </c>
      <c r="G81" s="39" t="s">
        <v>468</v>
      </c>
      <c r="H81" s="39" t="s">
        <v>86</v>
      </c>
      <c r="I81" s="39" t="s">
        <v>611</v>
      </c>
      <c r="J81" s="39" t="s">
        <v>559</v>
      </c>
      <c r="K81" s="39" t="s">
        <v>299</v>
      </c>
      <c r="L81" s="39" t="s">
        <v>612</v>
      </c>
      <c r="M81" s="41">
        <v>46215.0</v>
      </c>
    </row>
    <row r="82" ht="15.75" customHeight="1">
      <c r="A82" s="39" t="s">
        <v>283</v>
      </c>
      <c r="B82" s="39" t="s">
        <v>285</v>
      </c>
      <c r="C82" s="39" t="s">
        <v>466</v>
      </c>
      <c r="D82" s="39" t="s">
        <v>613</v>
      </c>
      <c r="E82" s="39" t="s">
        <v>602</v>
      </c>
      <c r="F82" s="40">
        <v>67.7</v>
      </c>
      <c r="G82" s="39" t="s">
        <v>468</v>
      </c>
      <c r="H82" s="39" t="s">
        <v>86</v>
      </c>
      <c r="I82" s="39" t="s">
        <v>614</v>
      </c>
      <c r="J82" s="39" t="s">
        <v>559</v>
      </c>
      <c r="K82" s="39" t="s">
        <v>299</v>
      </c>
      <c r="L82" s="39"/>
      <c r="M82" s="41">
        <v>46215.0</v>
      </c>
    </row>
    <row r="83" ht="15.75" customHeight="1">
      <c r="A83" s="39" t="s">
        <v>283</v>
      </c>
      <c r="B83" s="39" t="s">
        <v>285</v>
      </c>
      <c r="C83" s="39" t="s">
        <v>491</v>
      </c>
      <c r="D83" s="39" t="s">
        <v>615</v>
      </c>
      <c r="E83" s="39" t="s">
        <v>616</v>
      </c>
      <c r="F83" s="40">
        <v>70.9</v>
      </c>
      <c r="G83" s="39" t="s">
        <v>468</v>
      </c>
      <c r="H83" s="39" t="s">
        <v>86</v>
      </c>
      <c r="I83" s="39" t="s">
        <v>617</v>
      </c>
      <c r="J83" s="39" t="s">
        <v>559</v>
      </c>
      <c r="K83" s="39" t="s">
        <v>299</v>
      </c>
      <c r="L83" s="39"/>
      <c r="M83" s="41">
        <v>46215.0</v>
      </c>
    </row>
    <row r="84" ht="15.75" customHeight="1">
      <c r="A84" s="39" t="s">
        <v>283</v>
      </c>
      <c r="B84" s="39" t="s">
        <v>285</v>
      </c>
      <c r="C84" s="39" t="s">
        <v>485</v>
      </c>
      <c r="D84" s="39" t="s">
        <v>45</v>
      </c>
      <c r="E84" s="39" t="s">
        <v>618</v>
      </c>
      <c r="F84" s="40">
        <v>87.0</v>
      </c>
      <c r="G84" s="39" t="s">
        <v>468</v>
      </c>
      <c r="H84" s="39" t="s">
        <v>86</v>
      </c>
      <c r="I84" s="39" t="s">
        <v>619</v>
      </c>
      <c r="J84" s="39" t="s">
        <v>559</v>
      </c>
      <c r="K84" s="39" t="s">
        <v>299</v>
      </c>
      <c r="L84" s="39"/>
      <c r="M84" s="41">
        <v>46215.0</v>
      </c>
    </row>
    <row r="85" ht="15.75" customHeight="1">
      <c r="A85" s="39" t="s">
        <v>283</v>
      </c>
      <c r="B85" s="39" t="s">
        <v>285</v>
      </c>
      <c r="C85" s="39" t="s">
        <v>479</v>
      </c>
      <c r="D85" s="39" t="s">
        <v>620</v>
      </c>
      <c r="E85" s="39" t="s">
        <v>621</v>
      </c>
      <c r="F85" s="40">
        <v>94.7</v>
      </c>
      <c r="G85" s="39" t="s">
        <v>468</v>
      </c>
      <c r="H85" s="39" t="s">
        <v>86</v>
      </c>
      <c r="I85" s="39" t="s">
        <v>622</v>
      </c>
      <c r="J85" s="39" t="s">
        <v>559</v>
      </c>
      <c r="K85" s="39" t="s">
        <v>299</v>
      </c>
      <c r="L85" s="39"/>
      <c r="M85" s="41">
        <v>46215.0</v>
      </c>
    </row>
    <row r="86" ht="15.75" customHeight="1">
      <c r="A86" s="39" t="s">
        <v>283</v>
      </c>
      <c r="B86" s="39" t="s">
        <v>302</v>
      </c>
      <c r="C86" s="39" t="s">
        <v>466</v>
      </c>
      <c r="D86" s="39" t="s">
        <v>508</v>
      </c>
      <c r="E86" s="39" t="s">
        <v>623</v>
      </c>
      <c r="F86" s="40">
        <v>81.19</v>
      </c>
      <c r="G86" s="39" t="s">
        <v>468</v>
      </c>
      <c r="H86" s="39" t="s">
        <v>86</v>
      </c>
      <c r="I86" s="39" t="s">
        <v>624</v>
      </c>
      <c r="J86" s="39" t="s">
        <v>559</v>
      </c>
      <c r="K86" s="39" t="s">
        <v>312</v>
      </c>
      <c r="L86" s="39"/>
      <c r="M86" s="41">
        <v>46215.0</v>
      </c>
    </row>
    <row r="87" ht="15.75" customHeight="1">
      <c r="A87" s="39" t="s">
        <v>283</v>
      </c>
      <c r="B87" s="39" t="s">
        <v>302</v>
      </c>
      <c r="C87" s="39" t="s">
        <v>472</v>
      </c>
      <c r="D87" s="39" t="s">
        <v>625</v>
      </c>
      <c r="E87" s="39" t="s">
        <v>626</v>
      </c>
      <c r="F87" s="40">
        <v>31.0</v>
      </c>
      <c r="G87" s="39" t="s">
        <v>468</v>
      </c>
      <c r="H87" s="39" t="s">
        <v>86</v>
      </c>
      <c r="I87" s="39" t="s">
        <v>627</v>
      </c>
      <c r="J87" s="39" t="s">
        <v>559</v>
      </c>
      <c r="K87" s="39" t="s">
        <v>312</v>
      </c>
      <c r="L87" s="39"/>
      <c r="M87" s="41">
        <v>46215.0</v>
      </c>
    </row>
    <row r="88" ht="15.75" customHeight="1">
      <c r="A88" s="39" t="s">
        <v>283</v>
      </c>
      <c r="B88" s="39" t="s">
        <v>302</v>
      </c>
      <c r="C88" s="39" t="s">
        <v>466</v>
      </c>
      <c r="D88" s="39" t="s">
        <v>41</v>
      </c>
      <c r="E88" s="39" t="s">
        <v>628</v>
      </c>
      <c r="F88" s="40">
        <v>60.47</v>
      </c>
      <c r="G88" s="39" t="s">
        <v>468</v>
      </c>
      <c r="H88" s="39" t="s">
        <v>86</v>
      </c>
      <c r="I88" s="39" t="s">
        <v>629</v>
      </c>
      <c r="J88" s="39" t="s">
        <v>559</v>
      </c>
      <c r="K88" s="39" t="s">
        <v>312</v>
      </c>
      <c r="L88" s="39" t="s">
        <v>630</v>
      </c>
      <c r="M88" s="41">
        <v>46215.0</v>
      </c>
    </row>
    <row r="89" ht="15.75" customHeight="1">
      <c r="A89" s="39" t="s">
        <v>283</v>
      </c>
      <c r="B89" s="39" t="s">
        <v>302</v>
      </c>
      <c r="C89" s="39" t="s">
        <v>466</v>
      </c>
      <c r="D89" s="39" t="s">
        <v>41</v>
      </c>
      <c r="E89" s="39" t="s">
        <v>631</v>
      </c>
      <c r="F89" s="40">
        <v>59.2</v>
      </c>
      <c r="G89" s="39" t="s">
        <v>468</v>
      </c>
      <c r="H89" s="39" t="s">
        <v>86</v>
      </c>
      <c r="I89" s="39" t="s">
        <v>632</v>
      </c>
      <c r="J89" s="39" t="s">
        <v>559</v>
      </c>
      <c r="K89" s="39" t="s">
        <v>312</v>
      </c>
      <c r="L89" s="39" t="s">
        <v>630</v>
      </c>
      <c r="M89" s="41">
        <v>46215.0</v>
      </c>
    </row>
    <row r="90" ht="15.75" customHeight="1">
      <c r="A90" s="39" t="s">
        <v>283</v>
      </c>
      <c r="B90" s="39" t="s">
        <v>302</v>
      </c>
      <c r="C90" s="39" t="s">
        <v>466</v>
      </c>
      <c r="D90" s="39" t="s">
        <v>41</v>
      </c>
      <c r="E90" s="39" t="s">
        <v>633</v>
      </c>
      <c r="F90" s="40">
        <v>53.73</v>
      </c>
      <c r="G90" s="39" t="s">
        <v>468</v>
      </c>
      <c r="H90" s="39" t="s">
        <v>86</v>
      </c>
      <c r="I90" s="39" t="s">
        <v>634</v>
      </c>
      <c r="J90" s="39" t="s">
        <v>559</v>
      </c>
      <c r="K90" s="39" t="s">
        <v>312</v>
      </c>
      <c r="L90" s="39" t="s">
        <v>630</v>
      </c>
      <c r="M90" s="41">
        <v>46215.0</v>
      </c>
    </row>
    <row r="91" ht="15.75" customHeight="1">
      <c r="A91" s="39" t="s">
        <v>283</v>
      </c>
      <c r="B91" s="39" t="s">
        <v>302</v>
      </c>
      <c r="C91" s="39" t="s">
        <v>491</v>
      </c>
      <c r="D91" s="39" t="s">
        <v>635</v>
      </c>
      <c r="E91" s="39" t="s">
        <v>545</v>
      </c>
      <c r="F91" s="40">
        <v>61.15</v>
      </c>
      <c r="G91" s="39" t="s">
        <v>468</v>
      </c>
      <c r="H91" s="39" t="s">
        <v>86</v>
      </c>
      <c r="I91" s="39" t="s">
        <v>636</v>
      </c>
      <c r="J91" s="39" t="s">
        <v>559</v>
      </c>
      <c r="K91" s="39" t="s">
        <v>312</v>
      </c>
      <c r="L91" s="39"/>
      <c r="M91" s="41">
        <v>46215.0</v>
      </c>
    </row>
    <row r="92" ht="15.75" customHeight="1">
      <c r="A92" s="39" t="s">
        <v>283</v>
      </c>
      <c r="B92" s="39" t="s">
        <v>302</v>
      </c>
      <c r="C92" s="39" t="s">
        <v>485</v>
      </c>
      <c r="D92" s="39" t="s">
        <v>637</v>
      </c>
      <c r="E92" s="39" t="s">
        <v>487</v>
      </c>
      <c r="F92" s="40">
        <v>79.23</v>
      </c>
      <c r="G92" s="39" t="s">
        <v>468</v>
      </c>
      <c r="H92" s="39" t="s">
        <v>86</v>
      </c>
      <c r="I92" s="39" t="s">
        <v>638</v>
      </c>
      <c r="J92" s="39" t="s">
        <v>559</v>
      </c>
      <c r="K92" s="39" t="s">
        <v>312</v>
      </c>
      <c r="L92" s="39"/>
      <c r="M92" s="41">
        <v>46215.0</v>
      </c>
    </row>
    <row r="93" ht="15.75" customHeight="1">
      <c r="A93" s="39" t="s">
        <v>283</v>
      </c>
      <c r="B93" s="39" t="s">
        <v>302</v>
      </c>
      <c r="C93" s="39" t="s">
        <v>479</v>
      </c>
      <c r="D93" s="39" t="s">
        <v>620</v>
      </c>
      <c r="E93" s="39" t="s">
        <v>483</v>
      </c>
      <c r="F93" s="40">
        <v>91.75</v>
      </c>
      <c r="G93" s="39" t="s">
        <v>468</v>
      </c>
      <c r="H93" s="39" t="s">
        <v>86</v>
      </c>
      <c r="I93" s="39" t="s">
        <v>639</v>
      </c>
      <c r="J93" s="39" t="s">
        <v>559</v>
      </c>
      <c r="K93" s="39" t="s">
        <v>312</v>
      </c>
      <c r="L93" s="39"/>
      <c r="M93" s="41">
        <v>46215.0</v>
      </c>
    </row>
    <row r="94" ht="15.75" customHeight="1">
      <c r="A94" s="39" t="s">
        <v>283</v>
      </c>
      <c r="B94" s="39" t="s">
        <v>314</v>
      </c>
      <c r="C94" s="39" t="s">
        <v>466</v>
      </c>
      <c r="D94" s="39" t="s">
        <v>508</v>
      </c>
      <c r="E94" s="39" t="s">
        <v>537</v>
      </c>
      <c r="F94" s="40">
        <v>68.3</v>
      </c>
      <c r="G94" s="39" t="s">
        <v>468</v>
      </c>
      <c r="H94" s="39" t="s">
        <v>86</v>
      </c>
      <c r="I94" s="39" t="s">
        <v>538</v>
      </c>
      <c r="J94" s="39" t="s">
        <v>559</v>
      </c>
      <c r="K94" s="39" t="s">
        <v>323</v>
      </c>
      <c r="L94" s="39"/>
      <c r="M94" s="41">
        <v>46215.0</v>
      </c>
    </row>
    <row r="95" ht="15.75" customHeight="1">
      <c r="A95" s="39" t="s">
        <v>283</v>
      </c>
      <c r="B95" s="39" t="s">
        <v>314</v>
      </c>
      <c r="C95" s="39" t="s">
        <v>472</v>
      </c>
      <c r="D95" s="39" t="s">
        <v>473</v>
      </c>
      <c r="E95" s="39" t="s">
        <v>640</v>
      </c>
      <c r="F95" s="40">
        <v>8.5</v>
      </c>
      <c r="G95" s="39" t="s">
        <v>468</v>
      </c>
      <c r="H95" s="39" t="s">
        <v>86</v>
      </c>
      <c r="I95" s="39" t="s">
        <v>641</v>
      </c>
      <c r="J95" s="39" t="s">
        <v>559</v>
      </c>
      <c r="K95" s="39" t="s">
        <v>323</v>
      </c>
      <c r="L95" s="39"/>
      <c r="M95" s="41">
        <v>46215.0</v>
      </c>
    </row>
    <row r="96" ht="15.75" customHeight="1">
      <c r="A96" s="39" t="s">
        <v>283</v>
      </c>
      <c r="B96" s="39" t="s">
        <v>314</v>
      </c>
      <c r="C96" s="39" t="s">
        <v>466</v>
      </c>
      <c r="D96" s="39" t="s">
        <v>41</v>
      </c>
      <c r="E96" s="39" t="s">
        <v>628</v>
      </c>
      <c r="F96" s="40">
        <v>38.8</v>
      </c>
      <c r="G96" s="39" t="s">
        <v>468</v>
      </c>
      <c r="H96" s="39" t="s">
        <v>86</v>
      </c>
      <c r="I96" s="39" t="s">
        <v>629</v>
      </c>
      <c r="J96" s="39" t="s">
        <v>559</v>
      </c>
      <c r="K96" s="39" t="s">
        <v>323</v>
      </c>
      <c r="L96" s="39" t="s">
        <v>630</v>
      </c>
      <c r="M96" s="41">
        <v>46215.0</v>
      </c>
    </row>
    <row r="97" ht="15.75" customHeight="1">
      <c r="A97" s="39" t="s">
        <v>283</v>
      </c>
      <c r="B97" s="39" t="s">
        <v>314</v>
      </c>
      <c r="C97" s="39" t="s">
        <v>491</v>
      </c>
      <c r="D97" s="39" t="s">
        <v>635</v>
      </c>
      <c r="E97" s="39" t="s">
        <v>545</v>
      </c>
      <c r="F97" s="40">
        <v>49.0</v>
      </c>
      <c r="G97" s="39" t="s">
        <v>468</v>
      </c>
      <c r="H97" s="39" t="s">
        <v>86</v>
      </c>
      <c r="I97" s="39" t="s">
        <v>636</v>
      </c>
      <c r="J97" s="39" t="s">
        <v>559</v>
      </c>
      <c r="K97" s="39" t="s">
        <v>323</v>
      </c>
      <c r="L97" s="39"/>
      <c r="M97" s="41">
        <v>46215.0</v>
      </c>
    </row>
    <row r="98" ht="15.75" customHeight="1">
      <c r="A98" s="39" t="s">
        <v>283</v>
      </c>
      <c r="B98" s="39" t="s">
        <v>314</v>
      </c>
      <c r="C98" s="39" t="s">
        <v>475</v>
      </c>
      <c r="D98" s="39" t="s">
        <v>642</v>
      </c>
      <c r="E98" s="39" t="s">
        <v>643</v>
      </c>
      <c r="F98" s="40">
        <v>53.8</v>
      </c>
      <c r="G98" s="39" t="s">
        <v>468</v>
      </c>
      <c r="H98" s="39" t="s">
        <v>86</v>
      </c>
      <c r="I98" s="39" t="s">
        <v>644</v>
      </c>
      <c r="J98" s="39" t="s">
        <v>559</v>
      </c>
      <c r="K98" s="39" t="s">
        <v>323</v>
      </c>
      <c r="L98" s="39"/>
      <c r="M98" s="41">
        <v>46215.0</v>
      </c>
    </row>
    <row r="99" ht="15.75" customHeight="1">
      <c r="A99" s="39" t="s">
        <v>283</v>
      </c>
      <c r="B99" s="39" t="s">
        <v>314</v>
      </c>
      <c r="C99" s="39" t="s">
        <v>485</v>
      </c>
      <c r="D99" s="39" t="s">
        <v>637</v>
      </c>
      <c r="E99" s="39" t="s">
        <v>487</v>
      </c>
      <c r="F99" s="40">
        <v>73.0</v>
      </c>
      <c r="G99" s="39" t="s">
        <v>468</v>
      </c>
      <c r="H99" s="39" t="s">
        <v>86</v>
      </c>
      <c r="I99" s="39" t="s">
        <v>638</v>
      </c>
      <c r="J99" s="39" t="s">
        <v>559</v>
      </c>
      <c r="K99" s="39" t="s">
        <v>323</v>
      </c>
      <c r="L99" s="39"/>
      <c r="M99" s="41">
        <v>46215.0</v>
      </c>
    </row>
    <row r="100" ht="15.75" customHeight="1">
      <c r="A100" s="39" t="s">
        <v>283</v>
      </c>
      <c r="B100" s="39" t="s">
        <v>314</v>
      </c>
      <c r="C100" s="39" t="s">
        <v>479</v>
      </c>
      <c r="D100" s="39" t="s">
        <v>620</v>
      </c>
      <c r="E100" s="39" t="s">
        <v>483</v>
      </c>
      <c r="F100" s="40">
        <v>86.3</v>
      </c>
      <c r="G100" s="39" t="s">
        <v>468</v>
      </c>
      <c r="H100" s="39" t="s">
        <v>86</v>
      </c>
      <c r="I100" s="39" t="s">
        <v>639</v>
      </c>
      <c r="J100" s="39" t="s">
        <v>559</v>
      </c>
      <c r="K100" s="39" t="s">
        <v>323</v>
      </c>
      <c r="L100" s="39"/>
      <c r="M100" s="41">
        <v>46215.0</v>
      </c>
    </row>
    <row r="101" ht="15.75" customHeight="1">
      <c r="A101" s="39" t="s">
        <v>283</v>
      </c>
      <c r="B101" s="39" t="s">
        <v>325</v>
      </c>
      <c r="C101" s="39" t="s">
        <v>477</v>
      </c>
      <c r="D101" s="39" t="s">
        <v>44</v>
      </c>
      <c r="E101" s="39" t="s">
        <v>645</v>
      </c>
      <c r="F101" s="40">
        <v>47.4</v>
      </c>
      <c r="G101" s="39" t="s">
        <v>468</v>
      </c>
      <c r="H101" s="39" t="s">
        <v>86</v>
      </c>
      <c r="I101" s="39" t="s">
        <v>44</v>
      </c>
      <c r="J101" s="39" t="s">
        <v>559</v>
      </c>
      <c r="K101" s="39" t="s">
        <v>337</v>
      </c>
      <c r="L101" s="39"/>
      <c r="M101" s="41">
        <v>46215.0</v>
      </c>
    </row>
    <row r="102" ht="15.75" customHeight="1">
      <c r="A102" s="39" t="s">
        <v>283</v>
      </c>
      <c r="B102" s="39" t="s">
        <v>325</v>
      </c>
      <c r="C102" s="39" t="s">
        <v>646</v>
      </c>
      <c r="D102" s="39" t="s">
        <v>647</v>
      </c>
      <c r="E102" s="39" t="s">
        <v>648</v>
      </c>
      <c r="F102" s="40">
        <v>67.04</v>
      </c>
      <c r="G102" s="39" t="s">
        <v>468</v>
      </c>
      <c r="H102" s="39" t="s">
        <v>86</v>
      </c>
      <c r="I102" s="39" t="s">
        <v>649</v>
      </c>
      <c r="J102" s="39" t="s">
        <v>559</v>
      </c>
      <c r="K102" s="39" t="s">
        <v>337</v>
      </c>
      <c r="L102" s="39"/>
      <c r="M102" s="41">
        <v>46215.0</v>
      </c>
    </row>
    <row r="103" ht="15.75" customHeight="1">
      <c r="A103" s="39" t="s">
        <v>283</v>
      </c>
      <c r="B103" s="39" t="s">
        <v>325</v>
      </c>
      <c r="C103" s="39" t="s">
        <v>495</v>
      </c>
      <c r="D103" s="39" t="s">
        <v>496</v>
      </c>
      <c r="E103" s="39" t="s">
        <v>383</v>
      </c>
      <c r="F103" s="40">
        <v>63.6</v>
      </c>
      <c r="G103" s="39" t="s">
        <v>468</v>
      </c>
      <c r="H103" s="39" t="s">
        <v>86</v>
      </c>
      <c r="I103" s="39" t="s">
        <v>650</v>
      </c>
      <c r="J103" s="39" t="s">
        <v>559</v>
      </c>
      <c r="K103" s="39" t="s">
        <v>337</v>
      </c>
      <c r="L103" s="39"/>
      <c r="M103" s="41">
        <v>46215.0</v>
      </c>
    </row>
    <row r="104" ht="15.75" customHeight="1">
      <c r="A104" s="39" t="s">
        <v>283</v>
      </c>
      <c r="B104" s="39" t="s">
        <v>325</v>
      </c>
      <c r="C104" s="39" t="s">
        <v>479</v>
      </c>
      <c r="D104" s="39" t="s">
        <v>651</v>
      </c>
      <c r="E104" s="39" t="s">
        <v>645</v>
      </c>
      <c r="F104" s="40">
        <v>57.5</v>
      </c>
      <c r="G104" s="39" t="s">
        <v>468</v>
      </c>
      <c r="H104" s="39" t="s">
        <v>86</v>
      </c>
      <c r="I104" s="39" t="s">
        <v>651</v>
      </c>
      <c r="J104" s="39" t="s">
        <v>559</v>
      </c>
      <c r="K104" s="39" t="s">
        <v>337</v>
      </c>
      <c r="L104" s="39"/>
      <c r="M104" s="41">
        <v>46215.0</v>
      </c>
    </row>
    <row r="105" ht="15.75" customHeight="1">
      <c r="A105" s="39" t="s">
        <v>283</v>
      </c>
      <c r="B105" s="39" t="s">
        <v>325</v>
      </c>
      <c r="C105" s="39" t="s">
        <v>495</v>
      </c>
      <c r="D105" s="39" t="s">
        <v>652</v>
      </c>
      <c r="E105" s="39" t="s">
        <v>653</v>
      </c>
      <c r="F105" s="40">
        <v>82.8</v>
      </c>
      <c r="G105" s="39" t="s">
        <v>468</v>
      </c>
      <c r="H105" s="39" t="s">
        <v>86</v>
      </c>
      <c r="I105" s="39" t="s">
        <v>654</v>
      </c>
      <c r="J105" s="39" t="s">
        <v>559</v>
      </c>
      <c r="K105" s="39" t="s">
        <v>337</v>
      </c>
      <c r="L105" s="39"/>
      <c r="M105" s="41">
        <v>46215.0</v>
      </c>
    </row>
    <row r="106" ht="15.75" customHeight="1">
      <c r="A106" s="39" t="s">
        <v>283</v>
      </c>
      <c r="B106" s="39" t="s">
        <v>325</v>
      </c>
      <c r="C106" s="39" t="s">
        <v>655</v>
      </c>
      <c r="D106" s="39" t="s">
        <v>656</v>
      </c>
      <c r="E106" s="39" t="s">
        <v>645</v>
      </c>
      <c r="F106" s="39">
        <v>72.2</v>
      </c>
      <c r="G106" s="39" t="s">
        <v>468</v>
      </c>
      <c r="H106" s="39" t="s">
        <v>86</v>
      </c>
      <c r="I106" s="39" t="s">
        <v>656</v>
      </c>
      <c r="J106" s="39" t="s">
        <v>559</v>
      </c>
      <c r="K106" s="39" t="s">
        <v>337</v>
      </c>
      <c r="L106" s="39"/>
      <c r="M106" s="39">
        <v>46215.0</v>
      </c>
    </row>
    <row r="107" ht="15.75" customHeight="1">
      <c r="A107" s="39" t="s">
        <v>283</v>
      </c>
      <c r="B107" s="39" t="s">
        <v>325</v>
      </c>
      <c r="C107" s="39" t="s">
        <v>657</v>
      </c>
      <c r="D107" s="39" t="s">
        <v>658</v>
      </c>
      <c r="E107" s="39" t="s">
        <v>645</v>
      </c>
      <c r="F107" s="39">
        <v>74.52</v>
      </c>
      <c r="G107" s="39" t="s">
        <v>468</v>
      </c>
      <c r="H107" s="39" t="s">
        <v>86</v>
      </c>
      <c r="I107" s="39" t="s">
        <v>658</v>
      </c>
      <c r="J107" s="39" t="s">
        <v>559</v>
      </c>
      <c r="K107" s="39" t="s">
        <v>337</v>
      </c>
      <c r="L107" s="39"/>
      <c r="M107" s="39">
        <v>46215.0</v>
      </c>
    </row>
    <row r="108" ht="15.75" customHeight="1">
      <c r="A108" s="39" t="s">
        <v>283</v>
      </c>
      <c r="B108" s="39" t="s">
        <v>325</v>
      </c>
      <c r="C108" s="39" t="s">
        <v>659</v>
      </c>
      <c r="D108" s="39" t="s">
        <v>660</v>
      </c>
      <c r="E108" s="39" t="s">
        <v>645</v>
      </c>
      <c r="F108" s="39">
        <v>89.39</v>
      </c>
      <c r="G108" s="39" t="s">
        <v>468</v>
      </c>
      <c r="H108" s="39" t="s">
        <v>86</v>
      </c>
      <c r="I108" s="39" t="s">
        <v>660</v>
      </c>
      <c r="J108" s="39" t="s">
        <v>559</v>
      </c>
      <c r="K108" s="39" t="s">
        <v>337</v>
      </c>
      <c r="L108" s="39"/>
      <c r="M108" s="39">
        <v>46215.0</v>
      </c>
    </row>
    <row r="109" ht="15.75" customHeight="1">
      <c r="A109" s="39" t="s">
        <v>555</v>
      </c>
      <c r="B109" s="39" t="s">
        <v>661</v>
      </c>
      <c r="C109" s="39" t="s">
        <v>466</v>
      </c>
      <c r="D109" s="39" t="s">
        <v>662</v>
      </c>
      <c r="E109" s="39" t="s">
        <v>663</v>
      </c>
      <c r="F109" s="40">
        <v>71.6</v>
      </c>
      <c r="G109" s="39" t="s">
        <v>468</v>
      </c>
      <c r="H109" s="39" t="s">
        <v>86</v>
      </c>
      <c r="I109" s="39" t="s">
        <v>664</v>
      </c>
      <c r="J109" s="39" t="s">
        <v>665</v>
      </c>
      <c r="K109" s="39" t="s">
        <v>666</v>
      </c>
      <c r="L109" s="39" t="s">
        <v>667</v>
      </c>
      <c r="M109" s="41">
        <v>46215.0</v>
      </c>
    </row>
    <row r="110" ht="15.75" customHeight="1">
      <c r="A110" s="39" t="s">
        <v>555</v>
      </c>
      <c r="B110" s="39" t="s">
        <v>661</v>
      </c>
      <c r="C110" s="39" t="s">
        <v>466</v>
      </c>
      <c r="D110" s="39" t="s">
        <v>508</v>
      </c>
      <c r="E110" s="39" t="s">
        <v>668</v>
      </c>
      <c r="F110" s="40">
        <v>64.6</v>
      </c>
      <c r="G110" s="39" t="s">
        <v>468</v>
      </c>
      <c r="H110" s="39" t="s">
        <v>86</v>
      </c>
      <c r="I110" s="39" t="s">
        <v>669</v>
      </c>
      <c r="J110" s="39" t="s">
        <v>665</v>
      </c>
      <c r="K110" s="39" t="s">
        <v>666</v>
      </c>
      <c r="L110" s="39" t="s">
        <v>670</v>
      </c>
      <c r="M110" s="41">
        <v>46215.0</v>
      </c>
    </row>
    <row r="111" ht="15.75" customHeight="1">
      <c r="A111" s="39" t="s">
        <v>555</v>
      </c>
      <c r="B111" s="39" t="s">
        <v>661</v>
      </c>
      <c r="C111" s="39" t="s">
        <v>485</v>
      </c>
      <c r="D111" s="39" t="s">
        <v>45</v>
      </c>
      <c r="E111" s="39" t="s">
        <v>671</v>
      </c>
      <c r="F111" s="40">
        <v>71.2</v>
      </c>
      <c r="G111" s="39" t="s">
        <v>468</v>
      </c>
      <c r="H111" s="39" t="s">
        <v>86</v>
      </c>
      <c r="I111" s="39" t="s">
        <v>672</v>
      </c>
      <c r="J111" s="39" t="s">
        <v>665</v>
      </c>
      <c r="K111" s="39" t="s">
        <v>666</v>
      </c>
      <c r="L111" s="39"/>
      <c r="M111" s="41">
        <v>46215.0</v>
      </c>
    </row>
    <row r="112" ht="15.75" customHeight="1">
      <c r="A112" s="39" t="s">
        <v>555</v>
      </c>
      <c r="B112" s="39" t="s">
        <v>661</v>
      </c>
      <c r="C112" s="39" t="s">
        <v>383</v>
      </c>
      <c r="D112" s="39" t="s">
        <v>673</v>
      </c>
      <c r="E112" s="39" t="s">
        <v>671</v>
      </c>
      <c r="F112" s="40">
        <v>85.0</v>
      </c>
      <c r="G112" s="39" t="s">
        <v>468</v>
      </c>
      <c r="H112" s="39" t="s">
        <v>86</v>
      </c>
      <c r="I112" s="39" t="s">
        <v>674</v>
      </c>
      <c r="J112" s="39" t="s">
        <v>665</v>
      </c>
      <c r="K112" s="39" t="s">
        <v>666</v>
      </c>
      <c r="L112" s="39"/>
      <c r="M112" s="41">
        <v>46215.0</v>
      </c>
    </row>
    <row r="113" ht="15.75" customHeight="1">
      <c r="A113" s="39" t="s">
        <v>555</v>
      </c>
      <c r="B113" s="39" t="s">
        <v>661</v>
      </c>
      <c r="C113" s="39" t="s">
        <v>495</v>
      </c>
      <c r="D113" s="39" t="s">
        <v>526</v>
      </c>
      <c r="E113" s="39" t="s">
        <v>675</v>
      </c>
      <c r="F113" s="40">
        <v>59.9</v>
      </c>
      <c r="G113" s="39" t="s">
        <v>468</v>
      </c>
      <c r="H113" s="39" t="s">
        <v>86</v>
      </c>
      <c r="I113" s="39" t="s">
        <v>676</v>
      </c>
      <c r="J113" s="39" t="s">
        <v>665</v>
      </c>
      <c r="K113" s="39" t="s">
        <v>666</v>
      </c>
      <c r="L113" s="39"/>
      <c r="M113" s="41">
        <v>46215.0</v>
      </c>
    </row>
    <row r="114" ht="15.75" customHeight="1">
      <c r="A114" s="39" t="s">
        <v>555</v>
      </c>
      <c r="B114" s="39" t="s">
        <v>661</v>
      </c>
      <c r="C114" s="39" t="s">
        <v>495</v>
      </c>
      <c r="D114" s="39" t="s">
        <v>652</v>
      </c>
      <c r="E114" s="39" t="s">
        <v>677</v>
      </c>
      <c r="F114" s="40">
        <v>43.6</v>
      </c>
      <c r="G114" s="39" t="s">
        <v>468</v>
      </c>
      <c r="H114" s="39" t="s">
        <v>86</v>
      </c>
      <c r="I114" s="39" t="s">
        <v>678</v>
      </c>
      <c r="J114" s="39" t="s">
        <v>665</v>
      </c>
      <c r="K114" s="39" t="s">
        <v>666</v>
      </c>
      <c r="L114" s="39"/>
      <c r="M114" s="41">
        <v>46215.0</v>
      </c>
    </row>
    <row r="115" ht="15.75" customHeight="1">
      <c r="A115" s="39" t="s">
        <v>555</v>
      </c>
      <c r="B115" s="39" t="s">
        <v>661</v>
      </c>
      <c r="C115" s="39" t="s">
        <v>679</v>
      </c>
      <c r="D115" s="39" t="s">
        <v>680</v>
      </c>
      <c r="E115" s="39" t="s">
        <v>681</v>
      </c>
      <c r="F115" s="40">
        <v>55.1</v>
      </c>
      <c r="G115" s="39" t="s">
        <v>468</v>
      </c>
      <c r="H115" s="39" t="s">
        <v>86</v>
      </c>
      <c r="I115" s="39" t="s">
        <v>682</v>
      </c>
      <c r="J115" s="39" t="s">
        <v>665</v>
      </c>
      <c r="K115" s="39" t="s">
        <v>666</v>
      </c>
      <c r="L115" s="39"/>
      <c r="M115" s="41">
        <v>46215.0</v>
      </c>
    </row>
    <row r="116" ht="15.75" customHeight="1">
      <c r="A116" s="39" t="s">
        <v>555</v>
      </c>
      <c r="B116" s="39" t="s">
        <v>661</v>
      </c>
      <c r="C116" s="39" t="s">
        <v>679</v>
      </c>
      <c r="D116" s="39" t="s">
        <v>683</v>
      </c>
      <c r="E116" s="39" t="s">
        <v>681</v>
      </c>
      <c r="F116" s="40">
        <v>68.5</v>
      </c>
      <c r="G116" s="39" t="s">
        <v>468</v>
      </c>
      <c r="H116" s="39" t="s">
        <v>86</v>
      </c>
      <c r="I116" s="39" t="s">
        <v>684</v>
      </c>
      <c r="J116" s="39" t="s">
        <v>665</v>
      </c>
      <c r="K116" s="39" t="s">
        <v>666</v>
      </c>
      <c r="L116" s="39"/>
      <c r="M116" s="41">
        <v>46215.0</v>
      </c>
    </row>
    <row r="117" ht="15.75" customHeight="1">
      <c r="A117" s="39" t="s">
        <v>555</v>
      </c>
      <c r="B117" s="39" t="s">
        <v>661</v>
      </c>
      <c r="C117" s="39" t="s">
        <v>685</v>
      </c>
      <c r="D117" s="39" t="s">
        <v>686</v>
      </c>
      <c r="E117" s="39" t="s">
        <v>681</v>
      </c>
      <c r="F117" s="40">
        <v>84.9</v>
      </c>
      <c r="G117" s="39" t="s">
        <v>468</v>
      </c>
      <c r="H117" s="39" t="s">
        <v>86</v>
      </c>
      <c r="I117" s="39" t="s">
        <v>687</v>
      </c>
      <c r="J117" s="39" t="s">
        <v>665</v>
      </c>
      <c r="K117" s="39" t="s">
        <v>666</v>
      </c>
      <c r="L117" s="39"/>
      <c r="M117" s="41">
        <v>46215.0</v>
      </c>
    </row>
    <row r="118" ht="15.75" customHeight="1">
      <c r="A118" s="39" t="s">
        <v>555</v>
      </c>
      <c r="B118" s="39" t="s">
        <v>688</v>
      </c>
      <c r="C118" s="39" t="s">
        <v>466</v>
      </c>
      <c r="D118" s="39" t="s">
        <v>662</v>
      </c>
      <c r="E118" s="39" t="s">
        <v>663</v>
      </c>
      <c r="F118" s="40">
        <v>70.0</v>
      </c>
      <c r="G118" s="39" t="s">
        <v>468</v>
      </c>
      <c r="H118" s="39" t="s">
        <v>86</v>
      </c>
      <c r="I118" s="39" t="s">
        <v>664</v>
      </c>
      <c r="J118" s="39" t="s">
        <v>665</v>
      </c>
      <c r="K118" s="39" t="s">
        <v>666</v>
      </c>
      <c r="L118" s="39" t="s">
        <v>667</v>
      </c>
      <c r="M118" s="41">
        <v>46215.0</v>
      </c>
    </row>
    <row r="119" ht="15.75" customHeight="1">
      <c r="A119" s="39" t="s">
        <v>555</v>
      </c>
      <c r="B119" s="39" t="s">
        <v>688</v>
      </c>
      <c r="C119" s="39" t="s">
        <v>466</v>
      </c>
      <c r="D119" s="39" t="s">
        <v>508</v>
      </c>
      <c r="E119" s="39" t="s">
        <v>668</v>
      </c>
      <c r="F119" s="40">
        <v>61.6</v>
      </c>
      <c r="G119" s="39" t="s">
        <v>468</v>
      </c>
      <c r="H119" s="39" t="s">
        <v>86</v>
      </c>
      <c r="I119" s="39" t="s">
        <v>669</v>
      </c>
      <c r="J119" s="39" t="s">
        <v>665</v>
      </c>
      <c r="K119" s="39" t="s">
        <v>666</v>
      </c>
      <c r="L119" s="39" t="s">
        <v>670</v>
      </c>
      <c r="M119" s="41">
        <v>46215.0</v>
      </c>
    </row>
    <row r="120" ht="15.75" customHeight="1">
      <c r="A120" s="39" t="s">
        <v>555</v>
      </c>
      <c r="B120" s="39" t="s">
        <v>688</v>
      </c>
      <c r="C120" s="39" t="s">
        <v>485</v>
      </c>
      <c r="D120" s="39" t="s">
        <v>45</v>
      </c>
      <c r="E120" s="39" t="s">
        <v>671</v>
      </c>
      <c r="F120" s="40">
        <v>66.8</v>
      </c>
      <c r="G120" s="39" t="s">
        <v>468</v>
      </c>
      <c r="H120" s="39" t="s">
        <v>86</v>
      </c>
      <c r="I120" s="39" t="s">
        <v>672</v>
      </c>
      <c r="J120" s="39" t="s">
        <v>665</v>
      </c>
      <c r="K120" s="39" t="s">
        <v>666</v>
      </c>
      <c r="L120" s="39"/>
      <c r="M120" s="41">
        <v>46215.0</v>
      </c>
    </row>
    <row r="121" ht="15.75" customHeight="1">
      <c r="A121" s="39" t="s">
        <v>555</v>
      </c>
      <c r="B121" s="39" t="s">
        <v>688</v>
      </c>
      <c r="C121" s="39" t="s">
        <v>383</v>
      </c>
      <c r="D121" s="39" t="s">
        <v>673</v>
      </c>
      <c r="E121" s="39" t="s">
        <v>671</v>
      </c>
      <c r="F121" s="40">
        <v>78.7</v>
      </c>
      <c r="G121" s="39" t="s">
        <v>468</v>
      </c>
      <c r="H121" s="39" t="s">
        <v>86</v>
      </c>
      <c r="I121" s="39" t="s">
        <v>674</v>
      </c>
      <c r="J121" s="39" t="s">
        <v>665</v>
      </c>
      <c r="K121" s="39" t="s">
        <v>666</v>
      </c>
      <c r="L121" s="39"/>
      <c r="M121" s="41">
        <v>46215.0</v>
      </c>
    </row>
    <row r="122" ht="15.75" customHeight="1">
      <c r="A122" s="39" t="s">
        <v>555</v>
      </c>
      <c r="B122" s="39" t="s">
        <v>688</v>
      </c>
      <c r="C122" s="39" t="s">
        <v>495</v>
      </c>
      <c r="D122" s="39" t="s">
        <v>526</v>
      </c>
      <c r="E122" s="39" t="s">
        <v>675</v>
      </c>
      <c r="F122" s="40">
        <v>55.1</v>
      </c>
      <c r="G122" s="39" t="s">
        <v>468</v>
      </c>
      <c r="H122" s="39" t="s">
        <v>86</v>
      </c>
      <c r="I122" s="39" t="s">
        <v>676</v>
      </c>
      <c r="J122" s="39" t="s">
        <v>665</v>
      </c>
      <c r="K122" s="39" t="s">
        <v>666</v>
      </c>
      <c r="L122" s="39"/>
      <c r="M122" s="41">
        <v>46215.0</v>
      </c>
    </row>
    <row r="123" ht="15.75" customHeight="1">
      <c r="A123" s="39" t="s">
        <v>555</v>
      </c>
      <c r="B123" s="39" t="s">
        <v>688</v>
      </c>
      <c r="C123" s="39" t="s">
        <v>495</v>
      </c>
      <c r="D123" s="39" t="s">
        <v>652</v>
      </c>
      <c r="E123" s="39" t="s">
        <v>677</v>
      </c>
      <c r="F123" s="40">
        <v>35.7</v>
      </c>
      <c r="G123" s="39" t="s">
        <v>468</v>
      </c>
      <c r="H123" s="39" t="s">
        <v>86</v>
      </c>
      <c r="I123" s="39" t="s">
        <v>678</v>
      </c>
      <c r="J123" s="39" t="s">
        <v>665</v>
      </c>
      <c r="K123" s="39" t="s">
        <v>666</v>
      </c>
      <c r="L123" s="39"/>
      <c r="M123" s="41">
        <v>46215.0</v>
      </c>
    </row>
    <row r="124" ht="15.75" customHeight="1">
      <c r="A124" s="39" t="s">
        <v>555</v>
      </c>
      <c r="B124" s="39" t="s">
        <v>688</v>
      </c>
      <c r="C124" s="39" t="s">
        <v>679</v>
      </c>
      <c r="D124" s="39" t="s">
        <v>680</v>
      </c>
      <c r="E124" s="39" t="s">
        <v>681</v>
      </c>
      <c r="F124" s="40">
        <v>50.9</v>
      </c>
      <c r="G124" s="39" t="s">
        <v>468</v>
      </c>
      <c r="H124" s="39" t="s">
        <v>86</v>
      </c>
      <c r="I124" s="39" t="s">
        <v>682</v>
      </c>
      <c r="J124" s="39" t="s">
        <v>665</v>
      </c>
      <c r="K124" s="39" t="s">
        <v>666</v>
      </c>
      <c r="L124" s="39"/>
      <c r="M124" s="41">
        <v>46215.0</v>
      </c>
    </row>
    <row r="125" ht="15.75" customHeight="1">
      <c r="A125" s="39" t="s">
        <v>555</v>
      </c>
      <c r="B125" s="39" t="s">
        <v>688</v>
      </c>
      <c r="C125" s="39" t="s">
        <v>679</v>
      </c>
      <c r="D125" s="39" t="s">
        <v>683</v>
      </c>
      <c r="E125" s="39" t="s">
        <v>681</v>
      </c>
      <c r="F125" s="40">
        <v>66.8</v>
      </c>
      <c r="G125" s="39" t="s">
        <v>468</v>
      </c>
      <c r="H125" s="39" t="s">
        <v>86</v>
      </c>
      <c r="I125" s="39" t="s">
        <v>684</v>
      </c>
      <c r="J125" s="39" t="s">
        <v>665</v>
      </c>
      <c r="K125" s="39" t="s">
        <v>666</v>
      </c>
      <c r="L125" s="39"/>
      <c r="M125" s="41">
        <v>46215.0</v>
      </c>
    </row>
    <row r="126" ht="15.75" customHeight="1">
      <c r="A126" s="39" t="s">
        <v>555</v>
      </c>
      <c r="B126" s="39" t="s">
        <v>688</v>
      </c>
      <c r="C126" s="39" t="s">
        <v>685</v>
      </c>
      <c r="D126" s="39" t="s">
        <v>686</v>
      </c>
      <c r="E126" s="39" t="s">
        <v>681</v>
      </c>
      <c r="F126" s="40">
        <v>80.8</v>
      </c>
      <c r="G126" s="39" t="s">
        <v>468</v>
      </c>
      <c r="H126" s="39" t="s">
        <v>86</v>
      </c>
      <c r="I126" s="39" t="s">
        <v>687</v>
      </c>
      <c r="J126" s="39" t="s">
        <v>665</v>
      </c>
      <c r="K126" s="39" t="s">
        <v>666</v>
      </c>
      <c r="L126" s="39"/>
      <c r="M126" s="41">
        <v>46215.0</v>
      </c>
    </row>
    <row r="127" ht="15.75" customHeight="1">
      <c r="A127" s="39" t="s">
        <v>555</v>
      </c>
      <c r="B127" s="39" t="s">
        <v>689</v>
      </c>
      <c r="C127" s="39" t="s">
        <v>466</v>
      </c>
      <c r="D127" s="39" t="s">
        <v>662</v>
      </c>
      <c r="E127" s="39" t="s">
        <v>663</v>
      </c>
      <c r="F127" s="40">
        <v>63.0</v>
      </c>
      <c r="G127" s="39" t="s">
        <v>468</v>
      </c>
      <c r="H127" s="39" t="s">
        <v>86</v>
      </c>
      <c r="I127" s="39" t="s">
        <v>664</v>
      </c>
      <c r="J127" s="39" t="s">
        <v>665</v>
      </c>
      <c r="K127" s="39" t="s">
        <v>666</v>
      </c>
      <c r="L127" s="39" t="s">
        <v>667</v>
      </c>
      <c r="M127" s="41">
        <v>46215.0</v>
      </c>
    </row>
    <row r="128" ht="15.75" customHeight="1">
      <c r="A128" s="39" t="s">
        <v>555</v>
      </c>
      <c r="B128" s="39" t="s">
        <v>689</v>
      </c>
      <c r="C128" s="39" t="s">
        <v>466</v>
      </c>
      <c r="D128" s="39" t="s">
        <v>508</v>
      </c>
      <c r="E128" s="39" t="s">
        <v>668</v>
      </c>
      <c r="F128" s="40">
        <v>54.8</v>
      </c>
      <c r="G128" s="39" t="s">
        <v>468</v>
      </c>
      <c r="H128" s="39" t="s">
        <v>86</v>
      </c>
      <c r="I128" s="39" t="s">
        <v>669</v>
      </c>
      <c r="J128" s="39" t="s">
        <v>665</v>
      </c>
      <c r="K128" s="39" t="s">
        <v>666</v>
      </c>
      <c r="L128" s="39" t="s">
        <v>670</v>
      </c>
      <c r="M128" s="41">
        <v>46215.0</v>
      </c>
    </row>
    <row r="129" ht="15.75" customHeight="1">
      <c r="A129" s="39" t="s">
        <v>555</v>
      </c>
      <c r="B129" s="39" t="s">
        <v>689</v>
      </c>
      <c r="C129" s="39" t="s">
        <v>485</v>
      </c>
      <c r="D129" s="39" t="s">
        <v>45</v>
      </c>
      <c r="E129" s="39" t="s">
        <v>671</v>
      </c>
      <c r="F129" s="40">
        <v>53.4</v>
      </c>
      <c r="G129" s="39" t="s">
        <v>468</v>
      </c>
      <c r="H129" s="39" t="s">
        <v>86</v>
      </c>
      <c r="I129" s="39" t="s">
        <v>672</v>
      </c>
      <c r="J129" s="39" t="s">
        <v>665</v>
      </c>
      <c r="K129" s="39" t="s">
        <v>666</v>
      </c>
      <c r="L129" s="39"/>
      <c r="M129" s="41">
        <v>46215.0</v>
      </c>
    </row>
    <row r="130" ht="15.75" customHeight="1">
      <c r="A130" s="39" t="s">
        <v>555</v>
      </c>
      <c r="B130" s="39" t="s">
        <v>689</v>
      </c>
      <c r="C130" s="39" t="s">
        <v>383</v>
      </c>
      <c r="D130" s="39" t="s">
        <v>673</v>
      </c>
      <c r="E130" s="39" t="s">
        <v>671</v>
      </c>
      <c r="F130" s="40">
        <v>72.1</v>
      </c>
      <c r="G130" s="39" t="s">
        <v>468</v>
      </c>
      <c r="H130" s="39" t="s">
        <v>86</v>
      </c>
      <c r="I130" s="39" t="s">
        <v>674</v>
      </c>
      <c r="J130" s="39" t="s">
        <v>665</v>
      </c>
      <c r="K130" s="39" t="s">
        <v>666</v>
      </c>
      <c r="L130" s="39"/>
      <c r="M130" s="41">
        <v>46215.0</v>
      </c>
    </row>
    <row r="131" ht="15.75" customHeight="1">
      <c r="A131" s="39" t="s">
        <v>555</v>
      </c>
      <c r="B131" s="39" t="s">
        <v>689</v>
      </c>
      <c r="C131" s="39" t="s">
        <v>495</v>
      </c>
      <c r="D131" s="39" t="s">
        <v>526</v>
      </c>
      <c r="E131" s="39" t="s">
        <v>675</v>
      </c>
      <c r="F131" s="40">
        <v>52.4</v>
      </c>
      <c r="G131" s="39" t="s">
        <v>468</v>
      </c>
      <c r="H131" s="39" t="s">
        <v>86</v>
      </c>
      <c r="I131" s="39" t="s">
        <v>676</v>
      </c>
      <c r="J131" s="39" t="s">
        <v>665</v>
      </c>
      <c r="K131" s="39" t="s">
        <v>666</v>
      </c>
      <c r="L131" s="39"/>
      <c r="M131" s="41">
        <v>46215.0</v>
      </c>
    </row>
    <row r="132" ht="15.75" customHeight="1">
      <c r="A132" s="39" t="s">
        <v>555</v>
      </c>
      <c r="B132" s="39" t="s">
        <v>689</v>
      </c>
      <c r="C132" s="39" t="s">
        <v>495</v>
      </c>
      <c r="D132" s="39" t="s">
        <v>652</v>
      </c>
      <c r="E132" s="39" t="s">
        <v>677</v>
      </c>
      <c r="F132" s="40">
        <v>23.3</v>
      </c>
      <c r="G132" s="39" t="s">
        <v>468</v>
      </c>
      <c r="H132" s="39" t="s">
        <v>86</v>
      </c>
      <c r="I132" s="39" t="s">
        <v>678</v>
      </c>
      <c r="J132" s="39" t="s">
        <v>665</v>
      </c>
      <c r="K132" s="39" t="s">
        <v>666</v>
      </c>
      <c r="L132" s="39"/>
      <c r="M132" s="41">
        <v>46215.0</v>
      </c>
    </row>
    <row r="133" ht="15.75" customHeight="1">
      <c r="A133" s="39" t="s">
        <v>555</v>
      </c>
      <c r="B133" s="39" t="s">
        <v>689</v>
      </c>
      <c r="C133" s="39" t="s">
        <v>679</v>
      </c>
      <c r="D133" s="39" t="s">
        <v>680</v>
      </c>
      <c r="E133" s="39" t="s">
        <v>681</v>
      </c>
      <c r="F133" s="40">
        <v>30.5</v>
      </c>
      <c r="G133" s="39" t="s">
        <v>468</v>
      </c>
      <c r="H133" s="39" t="s">
        <v>86</v>
      </c>
      <c r="I133" s="39" t="s">
        <v>682</v>
      </c>
      <c r="J133" s="39" t="s">
        <v>665</v>
      </c>
      <c r="K133" s="39" t="s">
        <v>666</v>
      </c>
      <c r="L133" s="39"/>
      <c r="M133" s="41">
        <v>46215.0</v>
      </c>
    </row>
    <row r="134" ht="15.75" customHeight="1">
      <c r="A134" s="39" t="s">
        <v>555</v>
      </c>
      <c r="B134" s="39" t="s">
        <v>689</v>
      </c>
      <c r="C134" s="39" t="s">
        <v>679</v>
      </c>
      <c r="D134" s="39" t="s">
        <v>683</v>
      </c>
      <c r="E134" s="39" t="s">
        <v>681</v>
      </c>
      <c r="F134" s="40">
        <v>56.8</v>
      </c>
      <c r="G134" s="39" t="s">
        <v>468</v>
      </c>
      <c r="H134" s="39" t="s">
        <v>86</v>
      </c>
      <c r="I134" s="39" t="s">
        <v>684</v>
      </c>
      <c r="J134" s="39" t="s">
        <v>665</v>
      </c>
      <c r="K134" s="39" t="s">
        <v>666</v>
      </c>
      <c r="L134" s="39"/>
      <c r="M134" s="41">
        <v>46215.0</v>
      </c>
    </row>
    <row r="135" ht="15.75" customHeight="1">
      <c r="A135" s="39" t="s">
        <v>555</v>
      </c>
      <c r="B135" s="39" t="s">
        <v>689</v>
      </c>
      <c r="C135" s="39" t="s">
        <v>685</v>
      </c>
      <c r="D135" s="39" t="s">
        <v>686</v>
      </c>
      <c r="E135" s="39" t="s">
        <v>681</v>
      </c>
      <c r="F135" s="40">
        <v>78.3</v>
      </c>
      <c r="G135" s="39" t="s">
        <v>468</v>
      </c>
      <c r="H135" s="39" t="s">
        <v>86</v>
      </c>
      <c r="I135" s="39" t="s">
        <v>687</v>
      </c>
      <c r="J135" s="39" t="s">
        <v>665</v>
      </c>
      <c r="K135" s="39" t="s">
        <v>666</v>
      </c>
      <c r="L135" s="39"/>
      <c r="M135" s="41">
        <v>46215.0</v>
      </c>
    </row>
    <row r="136" ht="15.75" customHeight="1">
      <c r="A136" s="39" t="s">
        <v>690</v>
      </c>
      <c r="B136" s="39" t="s">
        <v>341</v>
      </c>
      <c r="C136" s="39" t="s">
        <v>466</v>
      </c>
      <c r="D136" s="39" t="s">
        <v>37</v>
      </c>
      <c r="E136" s="39" t="s">
        <v>691</v>
      </c>
      <c r="F136" s="40">
        <v>57.9</v>
      </c>
      <c r="G136" s="39" t="s">
        <v>468</v>
      </c>
      <c r="H136" s="39" t="s">
        <v>86</v>
      </c>
      <c r="I136" s="39" t="s">
        <v>692</v>
      </c>
      <c r="J136" s="39" t="s">
        <v>665</v>
      </c>
      <c r="K136" s="39" t="s">
        <v>353</v>
      </c>
      <c r="L136" s="39" t="s">
        <v>693</v>
      </c>
      <c r="M136" s="41">
        <v>46215.0</v>
      </c>
    </row>
    <row r="137" ht="15.75" customHeight="1">
      <c r="A137" s="39" t="s">
        <v>690</v>
      </c>
      <c r="B137" s="39" t="s">
        <v>341</v>
      </c>
      <c r="C137" s="39" t="s">
        <v>466</v>
      </c>
      <c r="D137" s="39" t="s">
        <v>613</v>
      </c>
      <c r="E137" s="39" t="s">
        <v>691</v>
      </c>
      <c r="F137" s="40">
        <v>75.8</v>
      </c>
      <c r="G137" s="39" t="s">
        <v>468</v>
      </c>
      <c r="H137" s="39" t="s">
        <v>86</v>
      </c>
      <c r="I137" s="39" t="s">
        <v>694</v>
      </c>
      <c r="J137" s="39" t="s">
        <v>665</v>
      </c>
      <c r="K137" s="39" t="s">
        <v>353</v>
      </c>
      <c r="L137" s="39"/>
      <c r="M137" s="41">
        <v>46215.0</v>
      </c>
    </row>
    <row r="138" ht="15.75" customHeight="1">
      <c r="A138" s="39" t="s">
        <v>690</v>
      </c>
      <c r="B138" s="39" t="s">
        <v>341</v>
      </c>
      <c r="C138" s="39" t="s">
        <v>466</v>
      </c>
      <c r="D138" s="39" t="s">
        <v>41</v>
      </c>
      <c r="E138" s="39" t="s">
        <v>691</v>
      </c>
      <c r="F138" s="40">
        <v>78.0</v>
      </c>
      <c r="G138" s="39" t="s">
        <v>468</v>
      </c>
      <c r="H138" s="39" t="s">
        <v>86</v>
      </c>
      <c r="I138" s="39" t="s">
        <v>695</v>
      </c>
      <c r="J138" s="39" t="s">
        <v>665</v>
      </c>
      <c r="K138" s="39" t="s">
        <v>353</v>
      </c>
      <c r="L138" s="39"/>
      <c r="M138" s="41">
        <v>46215.0</v>
      </c>
    </row>
    <row r="139" ht="15.75" customHeight="1">
      <c r="A139" s="39" t="s">
        <v>690</v>
      </c>
      <c r="B139" s="39" t="s">
        <v>341</v>
      </c>
      <c r="C139" s="39" t="s">
        <v>472</v>
      </c>
      <c r="D139" s="39" t="s">
        <v>473</v>
      </c>
      <c r="E139" s="39" t="s">
        <v>474</v>
      </c>
      <c r="F139" s="40">
        <v>71.7</v>
      </c>
      <c r="G139" s="39" t="s">
        <v>468</v>
      </c>
      <c r="H139" s="39" t="s">
        <v>86</v>
      </c>
      <c r="I139" s="39" t="s">
        <v>38</v>
      </c>
      <c r="J139" s="39" t="s">
        <v>665</v>
      </c>
      <c r="K139" s="39" t="s">
        <v>353</v>
      </c>
      <c r="L139" s="39"/>
      <c r="M139" s="41">
        <v>46215.0</v>
      </c>
    </row>
    <row r="140" ht="15.75" customHeight="1">
      <c r="A140" s="39" t="s">
        <v>690</v>
      </c>
      <c r="B140" s="39" t="s">
        <v>341</v>
      </c>
      <c r="C140" s="39" t="s">
        <v>466</v>
      </c>
      <c r="D140" s="39" t="s">
        <v>696</v>
      </c>
      <c r="E140" s="39" t="s">
        <v>343</v>
      </c>
      <c r="F140" s="40">
        <v>45.6</v>
      </c>
      <c r="G140" s="39" t="s">
        <v>468</v>
      </c>
      <c r="H140" s="39" t="s">
        <v>86</v>
      </c>
      <c r="I140" s="39" t="s">
        <v>696</v>
      </c>
      <c r="J140" s="39" t="s">
        <v>665</v>
      </c>
      <c r="K140" s="39" t="s">
        <v>353</v>
      </c>
      <c r="L140" s="39"/>
      <c r="M140" s="41">
        <v>46215.0</v>
      </c>
    </row>
    <row r="141" ht="15.75" customHeight="1">
      <c r="A141" s="39" t="s">
        <v>690</v>
      </c>
      <c r="B141" s="39" t="s">
        <v>341</v>
      </c>
      <c r="C141" s="39" t="s">
        <v>466</v>
      </c>
      <c r="D141" s="39" t="s">
        <v>697</v>
      </c>
      <c r="E141" s="39" t="s">
        <v>343</v>
      </c>
      <c r="F141" s="40">
        <v>28.0</v>
      </c>
      <c r="G141" s="39" t="s">
        <v>468</v>
      </c>
      <c r="H141" s="39" t="s">
        <v>86</v>
      </c>
      <c r="I141" s="39" t="s">
        <v>697</v>
      </c>
      <c r="J141" s="39" t="s">
        <v>665</v>
      </c>
      <c r="K141" s="39" t="s">
        <v>353</v>
      </c>
      <c r="L141" s="39"/>
      <c r="M141" s="41">
        <v>46215.0</v>
      </c>
    </row>
    <row r="142" ht="15.75" customHeight="1">
      <c r="A142" s="39" t="s">
        <v>690</v>
      </c>
      <c r="B142" s="39" t="s">
        <v>341</v>
      </c>
      <c r="C142" s="39" t="s">
        <v>698</v>
      </c>
      <c r="D142" s="39" t="s">
        <v>699</v>
      </c>
      <c r="E142" s="39" t="s">
        <v>343</v>
      </c>
      <c r="F142" s="40">
        <v>84.2</v>
      </c>
      <c r="G142" s="39" t="s">
        <v>468</v>
      </c>
      <c r="H142" s="39" t="s">
        <v>86</v>
      </c>
      <c r="I142" s="39" t="s">
        <v>699</v>
      </c>
      <c r="J142" s="39" t="s">
        <v>665</v>
      </c>
      <c r="K142" s="39" t="s">
        <v>353</v>
      </c>
      <c r="L142" s="39"/>
      <c r="M142" s="41">
        <v>46215.0</v>
      </c>
    </row>
    <row r="143" ht="15.75" customHeight="1">
      <c r="A143" s="39" t="s">
        <v>690</v>
      </c>
      <c r="B143" s="39" t="s">
        <v>341</v>
      </c>
      <c r="C143" s="39" t="s">
        <v>475</v>
      </c>
      <c r="D143" s="39" t="s">
        <v>43</v>
      </c>
      <c r="E143" s="39" t="s">
        <v>490</v>
      </c>
      <c r="F143" s="40">
        <v>79.1</v>
      </c>
      <c r="G143" s="39" t="s">
        <v>468</v>
      </c>
      <c r="H143" s="39" t="s">
        <v>86</v>
      </c>
      <c r="I143" s="39" t="s">
        <v>700</v>
      </c>
      <c r="J143" s="39" t="s">
        <v>665</v>
      </c>
      <c r="K143" s="39" t="s">
        <v>353</v>
      </c>
      <c r="L143" s="39"/>
      <c r="M143" s="41">
        <v>46215.0</v>
      </c>
    </row>
    <row r="144" ht="15.75" customHeight="1">
      <c r="A144" s="39" t="s">
        <v>690</v>
      </c>
      <c r="B144" s="39" t="s">
        <v>341</v>
      </c>
      <c r="C144" s="39" t="s">
        <v>475</v>
      </c>
      <c r="D144" s="39" t="s">
        <v>42</v>
      </c>
      <c r="E144" s="39" t="s">
        <v>343</v>
      </c>
      <c r="F144" s="40">
        <v>48.5</v>
      </c>
      <c r="G144" s="39" t="s">
        <v>468</v>
      </c>
      <c r="H144" s="39" t="s">
        <v>86</v>
      </c>
      <c r="I144" s="39" t="s">
        <v>42</v>
      </c>
      <c r="J144" s="39" t="s">
        <v>665</v>
      </c>
      <c r="K144" s="39" t="s">
        <v>353</v>
      </c>
      <c r="L144" s="39"/>
      <c r="M144" s="41">
        <v>46215.0</v>
      </c>
    </row>
    <row r="145" ht="15.75" customHeight="1">
      <c r="A145" s="39" t="s">
        <v>690</v>
      </c>
      <c r="B145" s="39" t="s">
        <v>341</v>
      </c>
      <c r="C145" s="39" t="s">
        <v>491</v>
      </c>
      <c r="D145" s="39" t="s">
        <v>701</v>
      </c>
      <c r="E145" s="39" t="s">
        <v>702</v>
      </c>
      <c r="F145" s="40">
        <v>68.5</v>
      </c>
      <c r="G145" s="39" t="s">
        <v>468</v>
      </c>
      <c r="H145" s="39" t="s">
        <v>86</v>
      </c>
      <c r="I145" s="39" t="s">
        <v>703</v>
      </c>
      <c r="J145" s="39" t="s">
        <v>665</v>
      </c>
      <c r="K145" s="39" t="s">
        <v>353</v>
      </c>
      <c r="L145" s="39"/>
      <c r="M145" s="41">
        <v>46215.0</v>
      </c>
    </row>
    <row r="146" ht="15.75" customHeight="1">
      <c r="A146" s="39" t="s">
        <v>690</v>
      </c>
      <c r="B146" s="39" t="s">
        <v>341</v>
      </c>
      <c r="C146" s="39" t="s">
        <v>491</v>
      </c>
      <c r="D146" s="39" t="s">
        <v>704</v>
      </c>
      <c r="E146" s="39" t="s">
        <v>705</v>
      </c>
      <c r="F146" s="40">
        <v>55.3</v>
      </c>
      <c r="G146" s="39" t="s">
        <v>468</v>
      </c>
      <c r="H146" s="39" t="s">
        <v>86</v>
      </c>
      <c r="I146" s="39" t="s">
        <v>706</v>
      </c>
      <c r="J146" s="39" t="s">
        <v>665</v>
      </c>
      <c r="K146" s="39" t="s">
        <v>353</v>
      </c>
      <c r="L146" s="39"/>
      <c r="M146" s="41">
        <v>46215.0</v>
      </c>
    </row>
    <row r="147" ht="15.75" customHeight="1">
      <c r="A147" s="39" t="s">
        <v>690</v>
      </c>
      <c r="B147" s="39" t="s">
        <v>341</v>
      </c>
      <c r="C147" s="39" t="s">
        <v>707</v>
      </c>
      <c r="D147" s="39" t="s">
        <v>486</v>
      </c>
      <c r="E147" s="39" t="s">
        <v>708</v>
      </c>
      <c r="F147" s="40">
        <v>53.2</v>
      </c>
      <c r="G147" s="39" t="s">
        <v>468</v>
      </c>
      <c r="H147" s="39" t="s">
        <v>86</v>
      </c>
      <c r="I147" s="39" t="s">
        <v>709</v>
      </c>
      <c r="J147" s="39" t="s">
        <v>665</v>
      </c>
      <c r="K147" s="39" t="s">
        <v>353</v>
      </c>
      <c r="L147" s="39"/>
      <c r="M147" s="41">
        <v>46215.0</v>
      </c>
    </row>
    <row r="148" ht="15.75" customHeight="1">
      <c r="A148" s="39" t="s">
        <v>690</v>
      </c>
      <c r="B148" s="39" t="s">
        <v>341</v>
      </c>
      <c r="C148" s="39" t="s">
        <v>485</v>
      </c>
      <c r="D148" s="39" t="s">
        <v>45</v>
      </c>
      <c r="E148" s="39" t="s">
        <v>343</v>
      </c>
      <c r="F148" s="40">
        <v>90.4</v>
      </c>
      <c r="G148" s="39" t="s">
        <v>468</v>
      </c>
      <c r="H148" s="39" t="s">
        <v>86</v>
      </c>
      <c r="I148" s="39" t="s">
        <v>45</v>
      </c>
      <c r="J148" s="39" t="s">
        <v>665</v>
      </c>
      <c r="K148" s="39" t="s">
        <v>353</v>
      </c>
      <c r="L148" s="39"/>
      <c r="M148" s="41">
        <v>46215.0</v>
      </c>
    </row>
    <row r="149" ht="15.75" customHeight="1">
      <c r="A149" s="39" t="s">
        <v>690</v>
      </c>
      <c r="B149" s="39" t="s">
        <v>341</v>
      </c>
      <c r="C149" s="39" t="s">
        <v>383</v>
      </c>
      <c r="D149" s="39" t="s">
        <v>710</v>
      </c>
      <c r="E149" s="39" t="s">
        <v>343</v>
      </c>
      <c r="F149" s="40">
        <v>74.8</v>
      </c>
      <c r="G149" s="39" t="s">
        <v>468</v>
      </c>
      <c r="H149" s="39" t="s">
        <v>86</v>
      </c>
      <c r="I149" s="39" t="s">
        <v>710</v>
      </c>
      <c r="J149" s="39" t="s">
        <v>665</v>
      </c>
      <c r="K149" s="39" t="s">
        <v>353</v>
      </c>
      <c r="L149" s="39"/>
      <c r="M149" s="41">
        <v>46215.0</v>
      </c>
    </row>
    <row r="150" ht="15.75" customHeight="1">
      <c r="A150" s="39" t="s">
        <v>690</v>
      </c>
      <c r="B150" s="39" t="s">
        <v>341</v>
      </c>
      <c r="C150" s="39" t="s">
        <v>383</v>
      </c>
      <c r="D150" s="39" t="s">
        <v>711</v>
      </c>
      <c r="E150" s="39" t="s">
        <v>343</v>
      </c>
      <c r="F150" s="40">
        <v>38.7</v>
      </c>
      <c r="G150" s="39" t="s">
        <v>468</v>
      </c>
      <c r="H150" s="39" t="s">
        <v>86</v>
      </c>
      <c r="I150" s="39" t="s">
        <v>711</v>
      </c>
      <c r="J150" s="39" t="s">
        <v>665</v>
      </c>
      <c r="K150" s="39" t="s">
        <v>353</v>
      </c>
      <c r="L150" s="39"/>
      <c r="M150" s="41">
        <v>46215.0</v>
      </c>
    </row>
    <row r="151" ht="15.75" customHeight="1">
      <c r="A151" s="39" t="s">
        <v>690</v>
      </c>
      <c r="B151" s="39" t="s">
        <v>341</v>
      </c>
      <c r="C151" s="39" t="s">
        <v>479</v>
      </c>
      <c r="D151" s="39" t="s">
        <v>712</v>
      </c>
      <c r="E151" s="39" t="s">
        <v>343</v>
      </c>
      <c r="F151" s="40">
        <v>73.4</v>
      </c>
      <c r="G151" s="39" t="s">
        <v>468</v>
      </c>
      <c r="H151" s="39" t="s">
        <v>86</v>
      </c>
      <c r="I151" s="39" t="s">
        <v>712</v>
      </c>
      <c r="J151" s="39" t="s">
        <v>665</v>
      </c>
      <c r="K151" s="39" t="s">
        <v>353</v>
      </c>
      <c r="L151" s="39" t="s">
        <v>713</v>
      </c>
      <c r="M151" s="41">
        <v>46215.0</v>
      </c>
    </row>
    <row r="152" ht="15.75" customHeight="1">
      <c r="A152" s="39" t="s">
        <v>714</v>
      </c>
      <c r="B152" s="39" t="s">
        <v>357</v>
      </c>
      <c r="C152" s="39" t="s">
        <v>466</v>
      </c>
      <c r="D152" s="39" t="s">
        <v>37</v>
      </c>
      <c r="E152" s="39" t="s">
        <v>557</v>
      </c>
      <c r="F152" s="40">
        <v>56.3</v>
      </c>
      <c r="G152" s="39" t="s">
        <v>468</v>
      </c>
      <c r="H152" s="39" t="s">
        <v>86</v>
      </c>
      <c r="I152" s="39" t="s">
        <v>37</v>
      </c>
      <c r="J152" s="39" t="s">
        <v>665</v>
      </c>
      <c r="K152" s="39" t="s">
        <v>370</v>
      </c>
      <c r="L152" s="39"/>
      <c r="M152" s="41">
        <v>46215.0</v>
      </c>
    </row>
    <row r="153" ht="15.75" customHeight="1">
      <c r="A153" s="39" t="s">
        <v>714</v>
      </c>
      <c r="B153" s="39" t="s">
        <v>357</v>
      </c>
      <c r="C153" s="39" t="s">
        <v>466</v>
      </c>
      <c r="D153" s="39" t="s">
        <v>613</v>
      </c>
      <c r="E153" s="39" t="s">
        <v>557</v>
      </c>
      <c r="F153" s="40">
        <v>72.4</v>
      </c>
      <c r="G153" s="39" t="s">
        <v>468</v>
      </c>
      <c r="H153" s="39" t="s">
        <v>86</v>
      </c>
      <c r="I153" s="39" t="s">
        <v>613</v>
      </c>
      <c r="J153" s="39" t="s">
        <v>665</v>
      </c>
      <c r="K153" s="39" t="s">
        <v>370</v>
      </c>
      <c r="L153" s="39" t="s">
        <v>715</v>
      </c>
      <c r="M153" s="41">
        <v>46215.0</v>
      </c>
    </row>
    <row r="154" ht="15.75" customHeight="1">
      <c r="A154" s="39" t="s">
        <v>714</v>
      </c>
      <c r="B154" s="39" t="s">
        <v>357</v>
      </c>
      <c r="C154" s="39" t="s">
        <v>466</v>
      </c>
      <c r="D154" s="39" t="s">
        <v>41</v>
      </c>
      <c r="E154" s="39" t="s">
        <v>557</v>
      </c>
      <c r="F154" s="40">
        <v>76.5</v>
      </c>
      <c r="G154" s="39" t="s">
        <v>468</v>
      </c>
      <c r="H154" s="39" t="s">
        <v>86</v>
      </c>
      <c r="I154" s="39" t="s">
        <v>41</v>
      </c>
      <c r="J154" s="39" t="s">
        <v>665</v>
      </c>
      <c r="K154" s="39" t="s">
        <v>370</v>
      </c>
      <c r="L154" s="39"/>
      <c r="M154" s="41">
        <v>46215.0</v>
      </c>
    </row>
    <row r="155" ht="15.75" customHeight="1">
      <c r="A155" s="39" t="s">
        <v>714</v>
      </c>
      <c r="B155" s="39" t="s">
        <v>357</v>
      </c>
      <c r="C155" s="39" t="s">
        <v>472</v>
      </c>
      <c r="D155" s="39" t="s">
        <v>473</v>
      </c>
      <c r="E155" s="39" t="s">
        <v>474</v>
      </c>
      <c r="F155" s="40">
        <v>59.6</v>
      </c>
      <c r="G155" s="39" t="s">
        <v>468</v>
      </c>
      <c r="H155" s="39" t="s">
        <v>86</v>
      </c>
      <c r="I155" s="39" t="s">
        <v>38</v>
      </c>
      <c r="J155" s="39" t="s">
        <v>665</v>
      </c>
      <c r="K155" s="39" t="s">
        <v>370</v>
      </c>
      <c r="L155" s="39" t="s">
        <v>716</v>
      </c>
      <c r="M155" s="41">
        <v>46215.0</v>
      </c>
    </row>
    <row r="156" ht="15.75" customHeight="1">
      <c r="A156" s="39" t="s">
        <v>714</v>
      </c>
      <c r="B156" s="39" t="s">
        <v>357</v>
      </c>
      <c r="C156" s="39" t="s">
        <v>475</v>
      </c>
      <c r="D156" s="39" t="s">
        <v>42</v>
      </c>
      <c r="E156" s="39" t="s">
        <v>717</v>
      </c>
      <c r="F156" s="40">
        <v>49.5</v>
      </c>
      <c r="G156" s="39" t="s">
        <v>468</v>
      </c>
      <c r="H156" s="39" t="s">
        <v>86</v>
      </c>
      <c r="I156" s="39" t="s">
        <v>718</v>
      </c>
      <c r="J156" s="39" t="s">
        <v>665</v>
      </c>
      <c r="K156" s="39" t="s">
        <v>370</v>
      </c>
      <c r="L156" s="39" t="s">
        <v>719</v>
      </c>
      <c r="M156" s="41">
        <v>46215.0</v>
      </c>
    </row>
    <row r="157" ht="15.75" customHeight="1">
      <c r="A157" s="39" t="s">
        <v>714</v>
      </c>
      <c r="B157" s="39" t="s">
        <v>357</v>
      </c>
      <c r="C157" s="39" t="s">
        <v>491</v>
      </c>
      <c r="D157" s="39" t="s">
        <v>701</v>
      </c>
      <c r="E157" s="39" t="s">
        <v>720</v>
      </c>
      <c r="F157" s="40">
        <v>67.1</v>
      </c>
      <c r="G157" s="39" t="s">
        <v>468</v>
      </c>
      <c r="H157" s="39" t="s">
        <v>86</v>
      </c>
      <c r="I157" s="39" t="s">
        <v>721</v>
      </c>
      <c r="J157" s="39" t="s">
        <v>665</v>
      </c>
      <c r="K157" s="39" t="s">
        <v>370</v>
      </c>
      <c r="L157" s="39"/>
      <c r="M157" s="41">
        <v>46215.0</v>
      </c>
    </row>
    <row r="158" ht="15.75" customHeight="1">
      <c r="A158" s="39" t="s">
        <v>714</v>
      </c>
      <c r="B158" s="39" t="s">
        <v>357</v>
      </c>
      <c r="C158" s="39" t="s">
        <v>707</v>
      </c>
      <c r="D158" s="39" t="s">
        <v>486</v>
      </c>
      <c r="E158" s="39" t="s">
        <v>722</v>
      </c>
      <c r="F158" s="40">
        <v>47.2</v>
      </c>
      <c r="G158" s="39" t="s">
        <v>468</v>
      </c>
      <c r="H158" s="39" t="s">
        <v>86</v>
      </c>
      <c r="I158" s="39" t="s">
        <v>723</v>
      </c>
      <c r="J158" s="39" t="s">
        <v>665</v>
      </c>
      <c r="K158" s="39" t="s">
        <v>370</v>
      </c>
      <c r="L158" s="39"/>
      <c r="M158" s="41">
        <v>46215.0</v>
      </c>
    </row>
    <row r="159" ht="15.75" customHeight="1">
      <c r="A159" s="39" t="s">
        <v>714</v>
      </c>
      <c r="B159" s="39" t="s">
        <v>357</v>
      </c>
      <c r="C159" s="39" t="s">
        <v>698</v>
      </c>
      <c r="D159" s="39" t="s">
        <v>699</v>
      </c>
      <c r="E159" s="39" t="s">
        <v>557</v>
      </c>
      <c r="F159" s="40">
        <v>75.8</v>
      </c>
      <c r="G159" s="39" t="s">
        <v>468</v>
      </c>
      <c r="H159" s="39" t="s">
        <v>86</v>
      </c>
      <c r="I159" s="39" t="s">
        <v>699</v>
      </c>
      <c r="J159" s="39" t="s">
        <v>665</v>
      </c>
      <c r="K159" s="39" t="s">
        <v>370</v>
      </c>
      <c r="L159" s="39"/>
      <c r="M159" s="41">
        <v>46215.0</v>
      </c>
    </row>
    <row r="160" ht="15.75" customHeight="1">
      <c r="A160" s="39" t="s">
        <v>714</v>
      </c>
      <c r="B160" s="39" t="s">
        <v>357</v>
      </c>
      <c r="C160" s="39" t="s">
        <v>698</v>
      </c>
      <c r="D160" s="39" t="s">
        <v>724</v>
      </c>
      <c r="E160" s="39" t="s">
        <v>725</v>
      </c>
      <c r="F160" s="40">
        <v>92.8</v>
      </c>
      <c r="G160" s="39" t="s">
        <v>468</v>
      </c>
      <c r="H160" s="39" t="s">
        <v>86</v>
      </c>
      <c r="I160" s="39" t="s">
        <v>726</v>
      </c>
      <c r="J160" s="39" t="s">
        <v>665</v>
      </c>
      <c r="K160" s="39" t="s">
        <v>370</v>
      </c>
      <c r="L160" s="39"/>
      <c r="M160" s="41">
        <v>46215.0</v>
      </c>
    </row>
    <row r="161" ht="15.75" customHeight="1">
      <c r="A161" s="39" t="s">
        <v>714</v>
      </c>
      <c r="B161" s="39" t="s">
        <v>357</v>
      </c>
      <c r="C161" s="39" t="s">
        <v>698</v>
      </c>
      <c r="D161" s="39" t="s">
        <v>724</v>
      </c>
      <c r="E161" s="39" t="s">
        <v>727</v>
      </c>
      <c r="F161" s="40">
        <v>81.7</v>
      </c>
      <c r="G161" s="39" t="s">
        <v>468</v>
      </c>
      <c r="H161" s="39" t="s">
        <v>86</v>
      </c>
      <c r="I161" s="39" t="s">
        <v>728</v>
      </c>
      <c r="J161" s="39" t="s">
        <v>665</v>
      </c>
      <c r="K161" s="39" t="s">
        <v>370</v>
      </c>
      <c r="L161" s="39"/>
      <c r="M161" s="41">
        <v>46215.0</v>
      </c>
    </row>
    <row r="162" ht="15.75" customHeight="1">
      <c r="A162" s="39" t="s">
        <v>714</v>
      </c>
      <c r="B162" s="39" t="s">
        <v>357</v>
      </c>
      <c r="C162" s="39" t="s">
        <v>729</v>
      </c>
      <c r="D162" s="39" t="s">
        <v>730</v>
      </c>
      <c r="E162" s="39" t="s">
        <v>557</v>
      </c>
      <c r="F162" s="40">
        <v>71.7</v>
      </c>
      <c r="G162" s="39" t="s">
        <v>468</v>
      </c>
      <c r="H162" s="39" t="s">
        <v>86</v>
      </c>
      <c r="I162" s="39" t="s">
        <v>730</v>
      </c>
      <c r="J162" s="39" t="s">
        <v>665</v>
      </c>
      <c r="K162" s="39" t="s">
        <v>370</v>
      </c>
      <c r="L162" s="39"/>
      <c r="M162" s="41">
        <v>46215.0</v>
      </c>
    </row>
    <row r="163" ht="15.75" customHeight="1">
      <c r="A163" s="39" t="s">
        <v>714</v>
      </c>
      <c r="B163" s="39" t="s">
        <v>357</v>
      </c>
      <c r="C163" s="39" t="s">
        <v>731</v>
      </c>
      <c r="D163" s="39" t="s">
        <v>732</v>
      </c>
      <c r="E163" s="39" t="s">
        <v>733</v>
      </c>
      <c r="F163" s="40">
        <v>45.8</v>
      </c>
      <c r="G163" s="39" t="s">
        <v>468</v>
      </c>
      <c r="H163" s="39" t="s">
        <v>86</v>
      </c>
      <c r="I163" s="39" t="s">
        <v>734</v>
      </c>
      <c r="J163" s="39" t="s">
        <v>665</v>
      </c>
      <c r="K163" s="39" t="s">
        <v>370</v>
      </c>
      <c r="L163" s="39" t="s">
        <v>735</v>
      </c>
      <c r="M163" s="41">
        <v>46215.0</v>
      </c>
    </row>
    <row r="164" ht="15.75" customHeight="1">
      <c r="A164" s="39" t="s">
        <v>714</v>
      </c>
      <c r="B164" s="39" t="s">
        <v>357</v>
      </c>
      <c r="C164" s="39" t="s">
        <v>479</v>
      </c>
      <c r="D164" s="39" t="s">
        <v>712</v>
      </c>
      <c r="E164" s="39" t="s">
        <v>557</v>
      </c>
      <c r="F164" s="40">
        <v>63.9</v>
      </c>
      <c r="G164" s="39" t="s">
        <v>468</v>
      </c>
      <c r="H164" s="39" t="s">
        <v>86</v>
      </c>
      <c r="I164" s="39" t="s">
        <v>712</v>
      </c>
      <c r="J164" s="39" t="s">
        <v>665</v>
      </c>
      <c r="K164" s="39" t="s">
        <v>370</v>
      </c>
      <c r="L164" s="39"/>
      <c r="M164" s="41">
        <v>46215.0</v>
      </c>
    </row>
    <row r="165" ht="15.75" customHeight="1">
      <c r="A165" s="39" t="s">
        <v>714</v>
      </c>
      <c r="B165" s="39" t="s">
        <v>357</v>
      </c>
      <c r="C165" s="39" t="s">
        <v>736</v>
      </c>
      <c r="D165" s="39" t="s">
        <v>737</v>
      </c>
      <c r="E165" s="39" t="s">
        <v>722</v>
      </c>
      <c r="F165" s="40">
        <v>79.16</v>
      </c>
      <c r="G165" s="39" t="s">
        <v>468</v>
      </c>
      <c r="H165" s="39" t="s">
        <v>86</v>
      </c>
      <c r="I165" s="39" t="s">
        <v>738</v>
      </c>
      <c r="J165" s="39" t="s">
        <v>665</v>
      </c>
      <c r="K165" s="39" t="s">
        <v>370</v>
      </c>
      <c r="L165" s="39"/>
      <c r="M165" s="41">
        <v>46215.0</v>
      </c>
    </row>
    <row r="166" ht="15.75" customHeight="1">
      <c r="A166" s="39" t="s">
        <v>714</v>
      </c>
      <c r="B166" s="39" t="s">
        <v>357</v>
      </c>
      <c r="C166" s="39" t="s">
        <v>736</v>
      </c>
      <c r="D166" s="39" t="s">
        <v>739</v>
      </c>
      <c r="E166" s="39" t="s">
        <v>557</v>
      </c>
      <c r="F166" s="40">
        <v>58.1</v>
      </c>
      <c r="G166" s="39" t="s">
        <v>468</v>
      </c>
      <c r="H166" s="39" t="s">
        <v>86</v>
      </c>
      <c r="I166" s="39" t="s">
        <v>739</v>
      </c>
      <c r="J166" s="39" t="s">
        <v>665</v>
      </c>
      <c r="K166" s="39" t="s">
        <v>370</v>
      </c>
      <c r="L166" s="39"/>
      <c r="M166" s="41">
        <v>46215.0</v>
      </c>
    </row>
    <row r="167" ht="15.75" customHeight="1">
      <c r="A167" s="39" t="s">
        <v>714</v>
      </c>
      <c r="B167" s="39" t="s">
        <v>357</v>
      </c>
      <c r="C167" s="39" t="s">
        <v>736</v>
      </c>
      <c r="D167" s="39" t="s">
        <v>740</v>
      </c>
      <c r="E167" s="39" t="s">
        <v>557</v>
      </c>
      <c r="F167" s="40">
        <v>58.96</v>
      </c>
      <c r="G167" s="39" t="s">
        <v>468</v>
      </c>
      <c r="H167" s="39" t="s">
        <v>86</v>
      </c>
      <c r="I167" s="39" t="s">
        <v>740</v>
      </c>
      <c r="J167" s="39" t="s">
        <v>665</v>
      </c>
      <c r="K167" s="39" t="s">
        <v>370</v>
      </c>
      <c r="L167" s="39"/>
      <c r="M167" s="41">
        <v>46215.0</v>
      </c>
    </row>
    <row r="168" ht="15.75" customHeight="1">
      <c r="A168" s="39" t="s">
        <v>714</v>
      </c>
      <c r="B168" s="39" t="s">
        <v>357</v>
      </c>
      <c r="C168" s="39" t="s">
        <v>741</v>
      </c>
      <c r="D168" s="39" t="s">
        <v>742</v>
      </c>
      <c r="E168" s="39" t="s">
        <v>743</v>
      </c>
      <c r="F168" s="40">
        <v>95.29</v>
      </c>
      <c r="G168" s="39" t="s">
        <v>468</v>
      </c>
      <c r="H168" s="39" t="s">
        <v>86</v>
      </c>
      <c r="I168" s="39" t="s">
        <v>744</v>
      </c>
      <c r="J168" s="39" t="s">
        <v>665</v>
      </c>
      <c r="K168" s="39" t="s">
        <v>370</v>
      </c>
      <c r="L168" s="39"/>
      <c r="M168" s="41">
        <v>46215.0</v>
      </c>
    </row>
    <row r="169" ht="15.75" customHeight="1">
      <c r="A169" s="39" t="s">
        <v>714</v>
      </c>
      <c r="B169" s="39" t="s">
        <v>357</v>
      </c>
      <c r="C169" s="39" t="s">
        <v>736</v>
      </c>
      <c r="D169" s="39" t="s">
        <v>745</v>
      </c>
      <c r="E169" s="39" t="s">
        <v>746</v>
      </c>
      <c r="F169" s="40">
        <v>89.13</v>
      </c>
      <c r="G169" s="39" t="s">
        <v>468</v>
      </c>
      <c r="H169" s="39" t="s">
        <v>86</v>
      </c>
      <c r="I169" s="39" t="s">
        <v>747</v>
      </c>
      <c r="J169" s="39" t="s">
        <v>665</v>
      </c>
      <c r="K169" s="39" t="s">
        <v>370</v>
      </c>
      <c r="L169" s="39"/>
      <c r="M169" s="41">
        <v>46215.0</v>
      </c>
    </row>
    <row r="170" ht="15.75" customHeight="1">
      <c r="A170" s="39" t="s">
        <v>714</v>
      </c>
      <c r="B170" s="39" t="s">
        <v>357</v>
      </c>
      <c r="C170" s="39" t="s">
        <v>736</v>
      </c>
      <c r="D170" s="39" t="s">
        <v>745</v>
      </c>
      <c r="E170" s="39" t="s">
        <v>748</v>
      </c>
      <c r="F170" s="40">
        <v>86.34</v>
      </c>
      <c r="G170" s="39" t="s">
        <v>468</v>
      </c>
      <c r="H170" s="39" t="s">
        <v>86</v>
      </c>
      <c r="I170" s="39" t="s">
        <v>749</v>
      </c>
      <c r="J170" s="39" t="s">
        <v>665</v>
      </c>
      <c r="K170" s="39" t="s">
        <v>370</v>
      </c>
      <c r="L170" s="39"/>
      <c r="M170" s="41">
        <v>46215.0</v>
      </c>
    </row>
    <row r="171" ht="15.75" customHeight="1">
      <c r="A171" s="39" t="s">
        <v>714</v>
      </c>
      <c r="B171" s="39" t="s">
        <v>357</v>
      </c>
      <c r="C171" s="39" t="s">
        <v>477</v>
      </c>
      <c r="D171" s="39" t="s">
        <v>750</v>
      </c>
      <c r="E171" s="39" t="s">
        <v>557</v>
      </c>
      <c r="F171" s="40">
        <v>61.87</v>
      </c>
      <c r="G171" s="39" t="s">
        <v>468</v>
      </c>
      <c r="H171" s="39" t="s">
        <v>86</v>
      </c>
      <c r="I171" s="39" t="s">
        <v>750</v>
      </c>
      <c r="J171" s="39" t="s">
        <v>665</v>
      </c>
      <c r="K171" s="39" t="s">
        <v>370</v>
      </c>
      <c r="L171" s="39"/>
      <c r="M171" s="41">
        <v>46215.0</v>
      </c>
    </row>
    <row r="172" ht="15.75" customHeight="1">
      <c r="A172" s="39" t="s">
        <v>714</v>
      </c>
      <c r="B172" s="39" t="s">
        <v>357</v>
      </c>
      <c r="C172" s="39" t="s">
        <v>751</v>
      </c>
      <c r="D172" s="39" t="s">
        <v>752</v>
      </c>
      <c r="E172" s="39" t="s">
        <v>753</v>
      </c>
      <c r="F172" s="40">
        <v>67.08</v>
      </c>
      <c r="G172" s="39" t="s">
        <v>468</v>
      </c>
      <c r="H172" s="39" t="s">
        <v>86</v>
      </c>
      <c r="I172" s="39" t="s">
        <v>754</v>
      </c>
      <c r="J172" s="39" t="s">
        <v>665</v>
      </c>
      <c r="K172" s="39" t="s">
        <v>370</v>
      </c>
      <c r="L172" s="39" t="s">
        <v>755</v>
      </c>
      <c r="M172" s="41">
        <v>46215.0</v>
      </c>
    </row>
    <row r="173" ht="15.75" customHeight="1">
      <c r="A173" s="39" t="s">
        <v>714</v>
      </c>
      <c r="B173" s="39" t="s">
        <v>357</v>
      </c>
      <c r="C173" s="39" t="s">
        <v>751</v>
      </c>
      <c r="D173" s="39" t="s">
        <v>752</v>
      </c>
      <c r="E173" s="39" t="s">
        <v>756</v>
      </c>
      <c r="F173" s="40">
        <v>67.5</v>
      </c>
      <c r="G173" s="39" t="s">
        <v>468</v>
      </c>
      <c r="H173" s="39" t="s">
        <v>86</v>
      </c>
      <c r="I173" s="39" t="s">
        <v>757</v>
      </c>
      <c r="J173" s="39" t="s">
        <v>665</v>
      </c>
      <c r="K173" s="39" t="s">
        <v>370</v>
      </c>
      <c r="L173" s="39" t="s">
        <v>758</v>
      </c>
      <c r="M173" s="41">
        <v>46215.0</v>
      </c>
    </row>
    <row r="174" ht="15.75" customHeight="1">
      <c r="A174" s="39" t="s">
        <v>714</v>
      </c>
      <c r="B174" s="39" t="s">
        <v>357</v>
      </c>
      <c r="C174" s="39" t="s">
        <v>751</v>
      </c>
      <c r="D174" s="39" t="s">
        <v>752</v>
      </c>
      <c r="E174" s="39" t="s">
        <v>759</v>
      </c>
      <c r="F174" s="40">
        <v>67.0</v>
      </c>
      <c r="G174" s="39" t="s">
        <v>468</v>
      </c>
      <c r="H174" s="39" t="s">
        <v>86</v>
      </c>
      <c r="I174" s="39" t="s">
        <v>760</v>
      </c>
      <c r="J174" s="39" t="s">
        <v>665</v>
      </c>
      <c r="K174" s="39" t="s">
        <v>370</v>
      </c>
      <c r="L174" s="39" t="s">
        <v>758</v>
      </c>
      <c r="M174" s="41">
        <v>46215.0</v>
      </c>
    </row>
    <row r="175" ht="15.75" customHeight="1">
      <c r="A175" s="39" t="s">
        <v>714</v>
      </c>
      <c r="B175" s="39" t="s">
        <v>357</v>
      </c>
      <c r="C175" s="39" t="s">
        <v>751</v>
      </c>
      <c r="D175" s="39" t="s">
        <v>752</v>
      </c>
      <c r="E175" s="39" t="s">
        <v>761</v>
      </c>
      <c r="F175" s="40">
        <v>71.5</v>
      </c>
      <c r="G175" s="39" t="s">
        <v>468</v>
      </c>
      <c r="H175" s="39" t="s">
        <v>86</v>
      </c>
      <c r="I175" s="39" t="s">
        <v>762</v>
      </c>
      <c r="J175" s="39" t="s">
        <v>665</v>
      </c>
      <c r="K175" s="39" t="s">
        <v>370</v>
      </c>
      <c r="L175" s="39" t="s">
        <v>758</v>
      </c>
      <c r="M175" s="41">
        <v>46215.0</v>
      </c>
    </row>
    <row r="176" ht="15.75" customHeight="1">
      <c r="A176" s="39" t="s">
        <v>714</v>
      </c>
      <c r="B176" s="39" t="s">
        <v>357</v>
      </c>
      <c r="C176" s="39" t="s">
        <v>751</v>
      </c>
      <c r="D176" s="39" t="s">
        <v>752</v>
      </c>
      <c r="E176" s="39" t="s">
        <v>763</v>
      </c>
      <c r="F176" s="40">
        <v>67.5</v>
      </c>
      <c r="G176" s="39" t="s">
        <v>468</v>
      </c>
      <c r="H176" s="39" t="s">
        <v>86</v>
      </c>
      <c r="I176" s="39" t="s">
        <v>764</v>
      </c>
      <c r="J176" s="39" t="s">
        <v>665</v>
      </c>
      <c r="K176" s="39" t="s">
        <v>370</v>
      </c>
      <c r="L176" s="39" t="s">
        <v>758</v>
      </c>
      <c r="M176" s="41">
        <v>46215.0</v>
      </c>
    </row>
    <row r="177" ht="15.75" customHeight="1">
      <c r="A177" s="39" t="s">
        <v>714</v>
      </c>
      <c r="B177" s="39" t="s">
        <v>357</v>
      </c>
      <c r="C177" s="39" t="s">
        <v>751</v>
      </c>
      <c r="D177" s="39" t="s">
        <v>752</v>
      </c>
      <c r="E177" s="39" t="s">
        <v>765</v>
      </c>
      <c r="F177" s="40">
        <v>64.5</v>
      </c>
      <c r="G177" s="39" t="s">
        <v>468</v>
      </c>
      <c r="H177" s="39" t="s">
        <v>86</v>
      </c>
      <c r="I177" s="39" t="s">
        <v>766</v>
      </c>
      <c r="J177" s="39" t="s">
        <v>665</v>
      </c>
      <c r="K177" s="39" t="s">
        <v>370</v>
      </c>
      <c r="L177" s="39" t="s">
        <v>758</v>
      </c>
      <c r="M177" s="41">
        <v>46215.0</v>
      </c>
    </row>
    <row r="178" ht="15.75" customHeight="1">
      <c r="A178" s="39" t="s">
        <v>714</v>
      </c>
      <c r="B178" s="39" t="s">
        <v>357</v>
      </c>
      <c r="C178" s="39" t="s">
        <v>751</v>
      </c>
      <c r="D178" s="39" t="s">
        <v>752</v>
      </c>
      <c r="E178" s="39" t="s">
        <v>767</v>
      </c>
      <c r="F178" s="40">
        <v>64.5</v>
      </c>
      <c r="G178" s="39" t="s">
        <v>468</v>
      </c>
      <c r="H178" s="39" t="s">
        <v>86</v>
      </c>
      <c r="I178" s="39" t="s">
        <v>768</v>
      </c>
      <c r="J178" s="39" t="s">
        <v>665</v>
      </c>
      <c r="K178" s="39" t="s">
        <v>370</v>
      </c>
      <c r="L178" s="39" t="s">
        <v>758</v>
      </c>
      <c r="M178" s="41">
        <v>46215.0</v>
      </c>
    </row>
    <row r="179" ht="15.75" customHeight="1">
      <c r="A179" s="39" t="s">
        <v>714</v>
      </c>
      <c r="B179" s="39" t="s">
        <v>357</v>
      </c>
      <c r="C179" s="39" t="s">
        <v>751</v>
      </c>
      <c r="D179" s="39" t="s">
        <v>41</v>
      </c>
      <c r="E179" s="39" t="s">
        <v>769</v>
      </c>
      <c r="F179" s="40">
        <v>73.7</v>
      </c>
      <c r="G179" s="39" t="s">
        <v>468</v>
      </c>
      <c r="H179" s="39" t="s">
        <v>86</v>
      </c>
      <c r="I179" s="39" t="s">
        <v>770</v>
      </c>
      <c r="J179" s="39" t="s">
        <v>665</v>
      </c>
      <c r="K179" s="39" t="s">
        <v>370</v>
      </c>
      <c r="L179" s="39" t="s">
        <v>771</v>
      </c>
      <c r="M179" s="41">
        <v>46215.0</v>
      </c>
    </row>
    <row r="180" ht="15.75" customHeight="1">
      <c r="A180" s="39" t="s">
        <v>714</v>
      </c>
      <c r="B180" s="39" t="s">
        <v>357</v>
      </c>
      <c r="C180" s="39" t="s">
        <v>751</v>
      </c>
      <c r="D180" s="39" t="s">
        <v>41</v>
      </c>
      <c r="E180" s="39" t="s">
        <v>772</v>
      </c>
      <c r="F180" s="40">
        <v>76.3</v>
      </c>
      <c r="G180" s="39" t="s">
        <v>468</v>
      </c>
      <c r="H180" s="39" t="s">
        <v>86</v>
      </c>
      <c r="I180" s="39" t="s">
        <v>770</v>
      </c>
      <c r="J180" s="39" t="s">
        <v>665</v>
      </c>
      <c r="K180" s="39" t="s">
        <v>370</v>
      </c>
      <c r="L180" s="39" t="s">
        <v>773</v>
      </c>
      <c r="M180" s="41">
        <v>46215.0</v>
      </c>
    </row>
    <row r="181" ht="15.75" customHeight="1">
      <c r="A181" s="42" t="s">
        <v>78</v>
      </c>
      <c r="B181" s="42" t="s">
        <v>80</v>
      </c>
      <c r="C181" s="42" t="s">
        <v>466</v>
      </c>
      <c r="D181" s="42" t="s">
        <v>37</v>
      </c>
      <c r="E181" s="42" t="s">
        <v>774</v>
      </c>
      <c r="F181" s="42">
        <v>64.6</v>
      </c>
      <c r="G181" s="42" t="s">
        <v>468</v>
      </c>
      <c r="H181" s="42" t="s">
        <v>86</v>
      </c>
      <c r="I181" s="42" t="s">
        <v>775</v>
      </c>
      <c r="J181" s="42" t="s">
        <v>776</v>
      </c>
      <c r="K181" s="42" t="s">
        <v>95</v>
      </c>
      <c r="L181" s="42" t="s">
        <v>777</v>
      </c>
      <c r="M181" s="43">
        <v>46213.0</v>
      </c>
    </row>
    <row r="182" ht="15.75" customHeight="1">
      <c r="A182" s="42" t="s">
        <v>78</v>
      </c>
      <c r="B182" s="42" t="s">
        <v>80</v>
      </c>
      <c r="C182" s="42" t="s">
        <v>472</v>
      </c>
      <c r="D182" s="42" t="s">
        <v>473</v>
      </c>
      <c r="E182" s="42" t="s">
        <v>778</v>
      </c>
      <c r="F182" s="42">
        <v>88.8</v>
      </c>
      <c r="G182" s="42" t="s">
        <v>468</v>
      </c>
      <c r="H182" s="42" t="s">
        <v>86</v>
      </c>
      <c r="I182" s="42" t="s">
        <v>775</v>
      </c>
      <c r="J182" s="42" t="s">
        <v>776</v>
      </c>
      <c r="K182" s="42" t="s">
        <v>95</v>
      </c>
      <c r="L182" s="42" t="s">
        <v>777</v>
      </c>
      <c r="M182" s="43">
        <v>46213.0</v>
      </c>
    </row>
    <row r="183" ht="15.75" customHeight="1">
      <c r="A183" s="42" t="s">
        <v>78</v>
      </c>
      <c r="B183" s="42" t="s">
        <v>80</v>
      </c>
      <c r="C183" s="42" t="s">
        <v>466</v>
      </c>
      <c r="D183" s="42" t="s">
        <v>40</v>
      </c>
      <c r="E183" s="42" t="s">
        <v>774</v>
      </c>
      <c r="F183" s="42">
        <v>80.0</v>
      </c>
      <c r="G183" s="42" t="s">
        <v>468</v>
      </c>
      <c r="H183" s="42" t="s">
        <v>86</v>
      </c>
      <c r="I183" s="42" t="s">
        <v>775</v>
      </c>
      <c r="J183" s="42" t="s">
        <v>776</v>
      </c>
      <c r="K183" s="42" t="s">
        <v>95</v>
      </c>
      <c r="L183" s="42" t="s">
        <v>777</v>
      </c>
      <c r="M183" s="43">
        <v>46213.0</v>
      </c>
    </row>
    <row r="184" ht="15.75" customHeight="1">
      <c r="A184" s="42" t="s">
        <v>78</v>
      </c>
      <c r="B184" s="42" t="s">
        <v>80</v>
      </c>
      <c r="C184" s="42" t="s">
        <v>475</v>
      </c>
      <c r="D184" s="42" t="s">
        <v>42</v>
      </c>
      <c r="E184" s="42" t="s">
        <v>774</v>
      </c>
      <c r="F184" s="42">
        <v>58.0</v>
      </c>
      <c r="G184" s="42" t="s">
        <v>468</v>
      </c>
      <c r="H184" s="42" t="s">
        <v>86</v>
      </c>
      <c r="I184" s="42" t="s">
        <v>775</v>
      </c>
      <c r="J184" s="42" t="s">
        <v>776</v>
      </c>
      <c r="K184" s="42" t="s">
        <v>95</v>
      </c>
      <c r="L184" s="42" t="s">
        <v>777</v>
      </c>
      <c r="M184" s="43">
        <v>46213.0</v>
      </c>
    </row>
    <row r="185" ht="15.75" customHeight="1">
      <c r="A185" s="42" t="s">
        <v>78</v>
      </c>
      <c r="B185" s="42" t="s">
        <v>80</v>
      </c>
      <c r="C185" s="42" t="s">
        <v>477</v>
      </c>
      <c r="D185" s="42" t="s">
        <v>44</v>
      </c>
      <c r="E185" s="42" t="s">
        <v>774</v>
      </c>
      <c r="F185" s="42">
        <v>62.6</v>
      </c>
      <c r="G185" s="42" t="s">
        <v>468</v>
      </c>
      <c r="H185" s="42" t="s">
        <v>86</v>
      </c>
      <c r="I185" s="42" t="s">
        <v>775</v>
      </c>
      <c r="J185" s="42" t="s">
        <v>776</v>
      </c>
      <c r="K185" s="42" t="s">
        <v>95</v>
      </c>
      <c r="L185" s="42" t="s">
        <v>777</v>
      </c>
      <c r="M185" s="43">
        <v>46213.0</v>
      </c>
    </row>
    <row r="186" ht="15.75" customHeight="1">
      <c r="A186" s="42" t="s">
        <v>78</v>
      </c>
      <c r="B186" s="42" t="s">
        <v>80</v>
      </c>
      <c r="C186" s="42" t="s">
        <v>485</v>
      </c>
      <c r="D186" s="42" t="s">
        <v>45</v>
      </c>
      <c r="E186" s="42" t="s">
        <v>774</v>
      </c>
      <c r="F186" s="42">
        <v>94.6</v>
      </c>
      <c r="G186" s="42" t="s">
        <v>468</v>
      </c>
      <c r="H186" s="42" t="s">
        <v>86</v>
      </c>
      <c r="I186" s="42" t="s">
        <v>775</v>
      </c>
      <c r="J186" s="42" t="s">
        <v>776</v>
      </c>
      <c r="K186" s="42" t="s">
        <v>95</v>
      </c>
      <c r="L186" s="42" t="s">
        <v>777</v>
      </c>
      <c r="M186" s="43">
        <v>46213.0</v>
      </c>
    </row>
    <row r="187" ht="15.75" customHeight="1">
      <c r="A187" s="42" t="s">
        <v>78</v>
      </c>
      <c r="B187" s="42" t="s">
        <v>80</v>
      </c>
      <c r="C187" s="42" t="s">
        <v>479</v>
      </c>
      <c r="D187" s="42" t="s">
        <v>779</v>
      </c>
      <c r="E187" s="42" t="s">
        <v>780</v>
      </c>
      <c r="F187" s="42">
        <v>73.8</v>
      </c>
      <c r="G187" s="42" t="s">
        <v>468</v>
      </c>
      <c r="H187" s="42" t="s">
        <v>86</v>
      </c>
      <c r="I187" s="42" t="s">
        <v>775</v>
      </c>
      <c r="J187" s="42" t="s">
        <v>776</v>
      </c>
      <c r="K187" s="42" t="s">
        <v>95</v>
      </c>
      <c r="L187" s="42" t="s">
        <v>777</v>
      </c>
      <c r="M187" s="43">
        <v>46213.0</v>
      </c>
    </row>
    <row r="188" ht="15.75" customHeight="1">
      <c r="A188" s="42" t="s">
        <v>78</v>
      </c>
      <c r="B188" s="42" t="s">
        <v>98</v>
      </c>
      <c r="C188" s="42" t="s">
        <v>466</v>
      </c>
      <c r="D188" s="42" t="s">
        <v>37</v>
      </c>
      <c r="E188" s="42" t="s">
        <v>774</v>
      </c>
      <c r="F188" s="42">
        <v>63.4</v>
      </c>
      <c r="G188" s="42" t="s">
        <v>468</v>
      </c>
      <c r="H188" s="42" t="s">
        <v>86</v>
      </c>
      <c r="I188" s="42" t="s">
        <v>775</v>
      </c>
      <c r="J188" s="42" t="s">
        <v>776</v>
      </c>
      <c r="K188" s="42" t="s">
        <v>95</v>
      </c>
      <c r="L188" s="42" t="s">
        <v>777</v>
      </c>
      <c r="M188" s="43">
        <v>46213.0</v>
      </c>
    </row>
    <row r="189" ht="15.75" customHeight="1">
      <c r="A189" s="42" t="s">
        <v>78</v>
      </c>
      <c r="B189" s="42" t="s">
        <v>98</v>
      </c>
      <c r="C189" s="42" t="s">
        <v>472</v>
      </c>
      <c r="D189" s="42" t="s">
        <v>473</v>
      </c>
      <c r="E189" s="42" t="s">
        <v>778</v>
      </c>
      <c r="F189" s="42">
        <v>87.4</v>
      </c>
      <c r="G189" s="42" t="s">
        <v>468</v>
      </c>
      <c r="H189" s="42" t="s">
        <v>86</v>
      </c>
      <c r="I189" s="42" t="s">
        <v>775</v>
      </c>
      <c r="J189" s="42" t="s">
        <v>776</v>
      </c>
      <c r="K189" s="42" t="s">
        <v>95</v>
      </c>
      <c r="L189" s="42" t="s">
        <v>777</v>
      </c>
      <c r="M189" s="43">
        <v>46213.0</v>
      </c>
    </row>
    <row r="190" ht="15.75" customHeight="1">
      <c r="A190" s="42" t="s">
        <v>78</v>
      </c>
      <c r="B190" s="42" t="s">
        <v>98</v>
      </c>
      <c r="C190" s="42" t="s">
        <v>466</v>
      </c>
      <c r="D190" s="42" t="s">
        <v>40</v>
      </c>
      <c r="E190" s="42" t="s">
        <v>774</v>
      </c>
      <c r="F190" s="42">
        <v>77.4</v>
      </c>
      <c r="G190" s="42" t="s">
        <v>468</v>
      </c>
      <c r="H190" s="42" t="s">
        <v>86</v>
      </c>
      <c r="I190" s="42" t="s">
        <v>775</v>
      </c>
      <c r="J190" s="42" t="s">
        <v>776</v>
      </c>
      <c r="K190" s="42" t="s">
        <v>95</v>
      </c>
      <c r="L190" s="42" t="s">
        <v>777</v>
      </c>
      <c r="M190" s="43">
        <v>46213.0</v>
      </c>
    </row>
    <row r="191" ht="15.75" customHeight="1">
      <c r="A191" s="42" t="s">
        <v>78</v>
      </c>
      <c r="B191" s="42" t="s">
        <v>98</v>
      </c>
      <c r="C191" s="42" t="s">
        <v>475</v>
      </c>
      <c r="D191" s="42" t="s">
        <v>42</v>
      </c>
      <c r="E191" s="42" t="s">
        <v>774</v>
      </c>
      <c r="F191" s="42">
        <v>53.1</v>
      </c>
      <c r="G191" s="42" t="s">
        <v>468</v>
      </c>
      <c r="H191" s="42" t="s">
        <v>86</v>
      </c>
      <c r="I191" s="42" t="s">
        <v>775</v>
      </c>
      <c r="J191" s="42" t="s">
        <v>776</v>
      </c>
      <c r="K191" s="42" t="s">
        <v>95</v>
      </c>
      <c r="L191" s="42" t="s">
        <v>777</v>
      </c>
      <c r="M191" s="43">
        <v>46213.0</v>
      </c>
    </row>
    <row r="192" ht="15.75" customHeight="1">
      <c r="A192" s="42" t="s">
        <v>78</v>
      </c>
      <c r="B192" s="42" t="s">
        <v>98</v>
      </c>
      <c r="C192" s="42" t="s">
        <v>477</v>
      </c>
      <c r="D192" s="42" t="s">
        <v>44</v>
      </c>
      <c r="E192" s="42" t="s">
        <v>774</v>
      </c>
      <c r="F192" s="42">
        <v>50.2</v>
      </c>
      <c r="G192" s="42" t="s">
        <v>468</v>
      </c>
      <c r="H192" s="42" t="s">
        <v>86</v>
      </c>
      <c r="I192" s="42" t="s">
        <v>775</v>
      </c>
      <c r="J192" s="42" t="s">
        <v>776</v>
      </c>
      <c r="K192" s="42" t="s">
        <v>95</v>
      </c>
      <c r="L192" s="42" t="s">
        <v>777</v>
      </c>
      <c r="M192" s="43">
        <v>46213.0</v>
      </c>
    </row>
    <row r="193" ht="15.75" customHeight="1">
      <c r="A193" s="42" t="s">
        <v>78</v>
      </c>
      <c r="B193" s="42" t="s">
        <v>98</v>
      </c>
      <c r="C193" s="42" t="s">
        <v>485</v>
      </c>
      <c r="D193" s="42" t="s">
        <v>45</v>
      </c>
      <c r="E193" s="42" t="s">
        <v>774</v>
      </c>
      <c r="F193" s="42">
        <v>92.9</v>
      </c>
      <c r="G193" s="42" t="s">
        <v>468</v>
      </c>
      <c r="H193" s="42" t="s">
        <v>86</v>
      </c>
      <c r="I193" s="42" t="s">
        <v>775</v>
      </c>
      <c r="J193" s="42" t="s">
        <v>776</v>
      </c>
      <c r="K193" s="42" t="s">
        <v>95</v>
      </c>
      <c r="L193" s="42" t="s">
        <v>777</v>
      </c>
      <c r="M193" s="43">
        <v>46213.0</v>
      </c>
    </row>
    <row r="194" ht="15.75" customHeight="1">
      <c r="A194" s="42" t="s">
        <v>78</v>
      </c>
      <c r="B194" s="42" t="s">
        <v>98</v>
      </c>
      <c r="C194" s="42" t="s">
        <v>479</v>
      </c>
      <c r="D194" s="42" t="s">
        <v>779</v>
      </c>
      <c r="E194" s="42" t="s">
        <v>780</v>
      </c>
      <c r="F194" s="42">
        <v>72.5</v>
      </c>
      <c r="G194" s="42" t="s">
        <v>468</v>
      </c>
      <c r="H194" s="42" t="s">
        <v>86</v>
      </c>
      <c r="I194" s="42" t="s">
        <v>775</v>
      </c>
      <c r="J194" s="42" t="s">
        <v>776</v>
      </c>
      <c r="K194" s="42" t="s">
        <v>95</v>
      </c>
      <c r="L194" s="42" t="s">
        <v>777</v>
      </c>
      <c r="M194" s="43">
        <v>46213.0</v>
      </c>
    </row>
    <row r="195" ht="15.75" customHeight="1">
      <c r="A195" s="42" t="s">
        <v>78</v>
      </c>
      <c r="B195" s="42" t="s">
        <v>105</v>
      </c>
      <c r="C195" s="42" t="s">
        <v>466</v>
      </c>
      <c r="D195" s="42" t="s">
        <v>37</v>
      </c>
      <c r="E195" s="42" t="s">
        <v>774</v>
      </c>
      <c r="F195" s="42">
        <v>62.7</v>
      </c>
      <c r="G195" s="42" t="s">
        <v>468</v>
      </c>
      <c r="H195" s="42" t="s">
        <v>86</v>
      </c>
      <c r="I195" s="42" t="s">
        <v>775</v>
      </c>
      <c r="J195" s="42" t="s">
        <v>776</v>
      </c>
      <c r="K195" s="42" t="s">
        <v>95</v>
      </c>
      <c r="L195" s="42" t="s">
        <v>777</v>
      </c>
      <c r="M195" s="43">
        <v>46213.0</v>
      </c>
    </row>
    <row r="196" ht="15.75" customHeight="1">
      <c r="A196" s="42" t="s">
        <v>78</v>
      </c>
      <c r="B196" s="42" t="s">
        <v>105</v>
      </c>
      <c r="C196" s="42" t="s">
        <v>472</v>
      </c>
      <c r="D196" s="42" t="s">
        <v>473</v>
      </c>
      <c r="E196" s="42" t="s">
        <v>778</v>
      </c>
      <c r="F196" s="42">
        <v>84.7</v>
      </c>
      <c r="G196" s="42" t="s">
        <v>468</v>
      </c>
      <c r="H196" s="42" t="s">
        <v>86</v>
      </c>
      <c r="I196" s="42" t="s">
        <v>775</v>
      </c>
      <c r="J196" s="42" t="s">
        <v>776</v>
      </c>
      <c r="K196" s="42" t="s">
        <v>95</v>
      </c>
      <c r="L196" s="42" t="s">
        <v>777</v>
      </c>
      <c r="M196" s="43">
        <v>46213.0</v>
      </c>
    </row>
    <row r="197" ht="15.75" customHeight="1">
      <c r="A197" s="42" t="s">
        <v>78</v>
      </c>
      <c r="B197" s="42" t="s">
        <v>105</v>
      </c>
      <c r="C197" s="42" t="s">
        <v>466</v>
      </c>
      <c r="D197" s="42" t="s">
        <v>40</v>
      </c>
      <c r="E197" s="42" t="s">
        <v>774</v>
      </c>
      <c r="F197" s="42">
        <v>74.6</v>
      </c>
      <c r="G197" s="42" t="s">
        <v>468</v>
      </c>
      <c r="H197" s="42" t="s">
        <v>86</v>
      </c>
      <c r="I197" s="42" t="s">
        <v>775</v>
      </c>
      <c r="J197" s="42" t="s">
        <v>776</v>
      </c>
      <c r="K197" s="42" t="s">
        <v>95</v>
      </c>
      <c r="L197" s="42" t="s">
        <v>777</v>
      </c>
      <c r="M197" s="43">
        <v>46213.0</v>
      </c>
    </row>
    <row r="198" ht="15.75" customHeight="1">
      <c r="A198" s="42" t="s">
        <v>78</v>
      </c>
      <c r="B198" s="42" t="s">
        <v>105</v>
      </c>
      <c r="C198" s="42" t="s">
        <v>475</v>
      </c>
      <c r="D198" s="42" t="s">
        <v>42</v>
      </c>
      <c r="E198" s="42" t="s">
        <v>774</v>
      </c>
      <c r="F198" s="42">
        <v>53.4</v>
      </c>
      <c r="G198" s="42" t="s">
        <v>468</v>
      </c>
      <c r="H198" s="42" t="s">
        <v>86</v>
      </c>
      <c r="I198" s="42" t="s">
        <v>775</v>
      </c>
      <c r="J198" s="42" t="s">
        <v>776</v>
      </c>
      <c r="K198" s="42" t="s">
        <v>95</v>
      </c>
      <c r="L198" s="42" t="s">
        <v>777</v>
      </c>
      <c r="M198" s="43">
        <v>46213.0</v>
      </c>
    </row>
    <row r="199" ht="15.75" customHeight="1">
      <c r="A199" s="42" t="s">
        <v>78</v>
      </c>
      <c r="B199" s="42" t="s">
        <v>105</v>
      </c>
      <c r="C199" s="42" t="s">
        <v>477</v>
      </c>
      <c r="D199" s="42" t="s">
        <v>44</v>
      </c>
      <c r="E199" s="42" t="s">
        <v>774</v>
      </c>
      <c r="F199" s="42">
        <v>45.6</v>
      </c>
      <c r="G199" s="42" t="s">
        <v>468</v>
      </c>
      <c r="H199" s="42" t="s">
        <v>86</v>
      </c>
      <c r="I199" s="42" t="s">
        <v>775</v>
      </c>
      <c r="J199" s="42" t="s">
        <v>776</v>
      </c>
      <c r="K199" s="42" t="s">
        <v>95</v>
      </c>
      <c r="L199" s="42" t="s">
        <v>777</v>
      </c>
      <c r="M199" s="43">
        <v>46213.0</v>
      </c>
    </row>
    <row r="200" ht="15.75" customHeight="1">
      <c r="A200" s="42" t="s">
        <v>78</v>
      </c>
      <c r="B200" s="42" t="s">
        <v>105</v>
      </c>
      <c r="C200" s="42" t="s">
        <v>485</v>
      </c>
      <c r="D200" s="42" t="s">
        <v>45</v>
      </c>
      <c r="E200" s="42" t="s">
        <v>774</v>
      </c>
      <c r="F200" s="42">
        <v>92.3</v>
      </c>
      <c r="G200" s="42" t="s">
        <v>468</v>
      </c>
      <c r="H200" s="42" t="s">
        <v>86</v>
      </c>
      <c r="I200" s="42" t="s">
        <v>775</v>
      </c>
      <c r="J200" s="42" t="s">
        <v>776</v>
      </c>
      <c r="K200" s="42" t="s">
        <v>95</v>
      </c>
      <c r="L200" s="42" t="s">
        <v>777</v>
      </c>
      <c r="M200" s="43">
        <v>46213.0</v>
      </c>
    </row>
    <row r="201" ht="15.75" customHeight="1">
      <c r="A201" s="42" t="s">
        <v>78</v>
      </c>
      <c r="B201" s="42" t="s">
        <v>105</v>
      </c>
      <c r="C201" s="42" t="s">
        <v>479</v>
      </c>
      <c r="D201" s="42" t="s">
        <v>779</v>
      </c>
      <c r="E201" s="42" t="s">
        <v>780</v>
      </c>
      <c r="F201" s="42">
        <v>41.3</v>
      </c>
      <c r="G201" s="42" t="s">
        <v>468</v>
      </c>
      <c r="H201" s="42" t="s">
        <v>86</v>
      </c>
      <c r="I201" s="42" t="s">
        <v>775</v>
      </c>
      <c r="J201" s="42" t="s">
        <v>776</v>
      </c>
      <c r="K201" s="42" t="s">
        <v>95</v>
      </c>
      <c r="L201" s="42" t="s">
        <v>777</v>
      </c>
      <c r="M201" s="43">
        <v>46213.0</v>
      </c>
    </row>
    <row r="202" ht="15.75" customHeight="1">
      <c r="A202" s="42" t="s">
        <v>78</v>
      </c>
      <c r="B202" s="42" t="s">
        <v>781</v>
      </c>
      <c r="C202" s="42" t="s">
        <v>466</v>
      </c>
      <c r="D202" s="42" t="s">
        <v>37</v>
      </c>
      <c r="E202" s="42" t="s">
        <v>774</v>
      </c>
      <c r="F202" s="42">
        <v>59.4</v>
      </c>
      <c r="G202" s="42" t="s">
        <v>468</v>
      </c>
      <c r="H202" s="42" t="s">
        <v>86</v>
      </c>
      <c r="I202" s="42" t="s">
        <v>775</v>
      </c>
      <c r="J202" s="42" t="s">
        <v>776</v>
      </c>
      <c r="K202" s="42" t="s">
        <v>95</v>
      </c>
      <c r="L202" s="42" t="s">
        <v>777</v>
      </c>
      <c r="M202" s="43">
        <v>46213.0</v>
      </c>
    </row>
    <row r="203" ht="15.75" customHeight="1">
      <c r="A203" s="42" t="s">
        <v>78</v>
      </c>
      <c r="B203" s="42" t="s">
        <v>781</v>
      </c>
      <c r="C203" s="42" t="s">
        <v>472</v>
      </c>
      <c r="D203" s="42" t="s">
        <v>473</v>
      </c>
      <c r="E203" s="42" t="s">
        <v>778</v>
      </c>
      <c r="F203" s="42">
        <v>85.6</v>
      </c>
      <c r="G203" s="42" t="s">
        <v>468</v>
      </c>
      <c r="H203" s="42" t="s">
        <v>86</v>
      </c>
      <c r="I203" s="42" t="s">
        <v>775</v>
      </c>
      <c r="J203" s="42" t="s">
        <v>776</v>
      </c>
      <c r="K203" s="42" t="s">
        <v>95</v>
      </c>
      <c r="L203" s="42" t="s">
        <v>777</v>
      </c>
      <c r="M203" s="43">
        <v>46213.0</v>
      </c>
    </row>
    <row r="204" ht="15.75" customHeight="1">
      <c r="A204" s="42" t="s">
        <v>78</v>
      </c>
      <c r="B204" s="42" t="s">
        <v>781</v>
      </c>
      <c r="C204" s="42" t="s">
        <v>472</v>
      </c>
      <c r="D204" s="42" t="s">
        <v>473</v>
      </c>
      <c r="E204" s="42" t="s">
        <v>782</v>
      </c>
      <c r="F204" s="42">
        <v>82.7</v>
      </c>
      <c r="G204" s="42" t="s">
        <v>468</v>
      </c>
      <c r="H204" s="42" t="s">
        <v>86</v>
      </c>
      <c r="I204" s="42" t="s">
        <v>775</v>
      </c>
      <c r="J204" s="42" t="s">
        <v>776</v>
      </c>
      <c r="K204" s="42" t="s">
        <v>95</v>
      </c>
      <c r="L204" s="42" t="s">
        <v>777</v>
      </c>
      <c r="M204" s="43">
        <v>46213.0</v>
      </c>
    </row>
    <row r="205" ht="15.75" customHeight="1">
      <c r="A205" s="42" t="s">
        <v>78</v>
      </c>
      <c r="B205" s="42" t="s">
        <v>781</v>
      </c>
      <c r="C205" s="42" t="s">
        <v>466</v>
      </c>
      <c r="D205" s="42" t="s">
        <v>40</v>
      </c>
      <c r="E205" s="42" t="s">
        <v>774</v>
      </c>
      <c r="F205" s="42">
        <v>76.4</v>
      </c>
      <c r="G205" s="42" t="s">
        <v>468</v>
      </c>
      <c r="H205" s="42" t="s">
        <v>86</v>
      </c>
      <c r="I205" s="42" t="s">
        <v>775</v>
      </c>
      <c r="J205" s="42" t="s">
        <v>776</v>
      </c>
      <c r="K205" s="42" t="s">
        <v>95</v>
      </c>
      <c r="L205" s="42" t="s">
        <v>777</v>
      </c>
      <c r="M205" s="43">
        <v>46213.0</v>
      </c>
    </row>
    <row r="206" ht="15.75" customHeight="1">
      <c r="A206" s="42" t="s">
        <v>78</v>
      </c>
      <c r="B206" s="42" t="s">
        <v>781</v>
      </c>
      <c r="C206" s="42" t="s">
        <v>475</v>
      </c>
      <c r="D206" s="42" t="s">
        <v>42</v>
      </c>
      <c r="E206" s="42" t="s">
        <v>774</v>
      </c>
      <c r="F206" s="42">
        <v>55.6</v>
      </c>
      <c r="G206" s="42" t="s">
        <v>468</v>
      </c>
      <c r="H206" s="42" t="s">
        <v>86</v>
      </c>
      <c r="I206" s="42" t="s">
        <v>775</v>
      </c>
      <c r="J206" s="42" t="s">
        <v>776</v>
      </c>
      <c r="K206" s="42" t="s">
        <v>95</v>
      </c>
      <c r="L206" s="42" t="s">
        <v>777</v>
      </c>
      <c r="M206" s="43">
        <v>46213.0</v>
      </c>
    </row>
    <row r="207" ht="15.75" customHeight="1">
      <c r="A207" s="42" t="s">
        <v>78</v>
      </c>
      <c r="B207" s="42" t="s">
        <v>781</v>
      </c>
      <c r="C207" s="42" t="s">
        <v>477</v>
      </c>
      <c r="D207" s="42" t="s">
        <v>44</v>
      </c>
      <c r="E207" s="42" t="s">
        <v>774</v>
      </c>
      <c r="F207" s="42">
        <v>47.5</v>
      </c>
      <c r="G207" s="42" t="s">
        <v>468</v>
      </c>
      <c r="H207" s="42" t="s">
        <v>86</v>
      </c>
      <c r="I207" s="42" t="s">
        <v>775</v>
      </c>
      <c r="J207" s="42" t="s">
        <v>776</v>
      </c>
      <c r="K207" s="42" t="s">
        <v>95</v>
      </c>
      <c r="L207" s="42" t="s">
        <v>777</v>
      </c>
      <c r="M207" s="43">
        <v>46213.0</v>
      </c>
    </row>
    <row r="208" ht="15.75" customHeight="1">
      <c r="A208" s="42" t="s">
        <v>78</v>
      </c>
      <c r="B208" s="42" t="s">
        <v>781</v>
      </c>
      <c r="C208" s="42" t="s">
        <v>485</v>
      </c>
      <c r="D208" s="42" t="s">
        <v>45</v>
      </c>
      <c r="E208" s="42" t="s">
        <v>774</v>
      </c>
      <c r="F208" s="42">
        <v>93.6</v>
      </c>
      <c r="G208" s="42" t="s">
        <v>468</v>
      </c>
      <c r="H208" s="42" t="s">
        <v>86</v>
      </c>
      <c r="I208" s="42" t="s">
        <v>775</v>
      </c>
      <c r="J208" s="42" t="s">
        <v>776</v>
      </c>
      <c r="K208" s="42" t="s">
        <v>95</v>
      </c>
      <c r="L208" s="42" t="s">
        <v>777</v>
      </c>
      <c r="M208" s="43">
        <v>46213.0</v>
      </c>
    </row>
    <row r="209" ht="15.75" customHeight="1">
      <c r="A209" s="42" t="s">
        <v>78</v>
      </c>
      <c r="B209" s="42" t="s">
        <v>781</v>
      </c>
      <c r="C209" s="42" t="s">
        <v>479</v>
      </c>
      <c r="D209" s="42" t="s">
        <v>779</v>
      </c>
      <c r="E209" s="42" t="s">
        <v>780</v>
      </c>
      <c r="F209" s="42">
        <v>74.0</v>
      </c>
      <c r="G209" s="42" t="s">
        <v>468</v>
      </c>
      <c r="H209" s="42" t="s">
        <v>86</v>
      </c>
      <c r="I209" s="42" t="s">
        <v>775</v>
      </c>
      <c r="J209" s="42" t="s">
        <v>776</v>
      </c>
      <c r="K209" s="42" t="s">
        <v>95</v>
      </c>
      <c r="L209" s="42" t="s">
        <v>777</v>
      </c>
      <c r="M209" s="43">
        <v>46213.0</v>
      </c>
    </row>
    <row r="210" ht="15.75" customHeight="1">
      <c r="A210" s="42" t="s">
        <v>78</v>
      </c>
      <c r="B210" s="42" t="s">
        <v>783</v>
      </c>
      <c r="C210" s="42" t="s">
        <v>466</v>
      </c>
      <c r="D210" s="42" t="s">
        <v>37</v>
      </c>
      <c r="E210" s="42" t="s">
        <v>774</v>
      </c>
      <c r="F210" s="42">
        <v>57.7</v>
      </c>
      <c r="G210" s="42" t="s">
        <v>468</v>
      </c>
      <c r="H210" s="42" t="s">
        <v>86</v>
      </c>
      <c r="I210" s="42" t="s">
        <v>775</v>
      </c>
      <c r="J210" s="42" t="s">
        <v>776</v>
      </c>
      <c r="K210" s="42" t="s">
        <v>784</v>
      </c>
      <c r="L210" s="42" t="s">
        <v>777</v>
      </c>
      <c r="M210" s="43">
        <v>46213.0</v>
      </c>
    </row>
    <row r="211" ht="15.75" customHeight="1">
      <c r="A211" s="42" t="s">
        <v>78</v>
      </c>
      <c r="B211" s="42" t="s">
        <v>783</v>
      </c>
      <c r="C211" s="42" t="s">
        <v>472</v>
      </c>
      <c r="D211" s="42" t="s">
        <v>473</v>
      </c>
      <c r="E211" s="42" t="s">
        <v>782</v>
      </c>
      <c r="F211" s="42">
        <v>75.1</v>
      </c>
      <c r="G211" s="42" t="s">
        <v>468</v>
      </c>
      <c r="H211" s="42" t="s">
        <v>86</v>
      </c>
      <c r="I211" s="42" t="s">
        <v>775</v>
      </c>
      <c r="J211" s="42" t="s">
        <v>776</v>
      </c>
      <c r="K211" s="42" t="s">
        <v>784</v>
      </c>
      <c r="L211" s="42" t="s">
        <v>777</v>
      </c>
      <c r="M211" s="43">
        <v>46213.0</v>
      </c>
    </row>
    <row r="212" ht="15.75" customHeight="1">
      <c r="A212" s="42" t="s">
        <v>78</v>
      </c>
      <c r="B212" s="42" t="s">
        <v>783</v>
      </c>
      <c r="C212" s="42" t="s">
        <v>475</v>
      </c>
      <c r="D212" s="42" t="s">
        <v>42</v>
      </c>
      <c r="E212" s="42" t="s">
        <v>774</v>
      </c>
      <c r="F212" s="42">
        <v>54.6</v>
      </c>
      <c r="G212" s="42" t="s">
        <v>468</v>
      </c>
      <c r="H212" s="42" t="s">
        <v>86</v>
      </c>
      <c r="I212" s="42" t="s">
        <v>775</v>
      </c>
      <c r="J212" s="42" t="s">
        <v>776</v>
      </c>
      <c r="K212" s="42" t="s">
        <v>784</v>
      </c>
      <c r="L212" s="42" t="s">
        <v>777</v>
      </c>
      <c r="M212" s="43">
        <v>46213.0</v>
      </c>
    </row>
    <row r="213" ht="15.75" customHeight="1">
      <c r="A213" s="42" t="s">
        <v>78</v>
      </c>
      <c r="B213" s="42" t="s">
        <v>783</v>
      </c>
      <c r="C213" s="42" t="s">
        <v>475</v>
      </c>
      <c r="D213" s="42" t="s">
        <v>43</v>
      </c>
      <c r="E213" s="42" t="s">
        <v>774</v>
      </c>
      <c r="F213" s="42">
        <v>67.2</v>
      </c>
      <c r="G213" s="42" t="s">
        <v>468</v>
      </c>
      <c r="H213" s="42" t="s">
        <v>86</v>
      </c>
      <c r="I213" s="42" t="s">
        <v>775</v>
      </c>
      <c r="J213" s="42" t="s">
        <v>776</v>
      </c>
      <c r="K213" s="42" t="s">
        <v>784</v>
      </c>
      <c r="L213" s="42" t="s">
        <v>777</v>
      </c>
      <c r="M213" s="43">
        <v>46213.0</v>
      </c>
    </row>
    <row r="214" ht="15.75" customHeight="1">
      <c r="A214" s="42" t="s">
        <v>78</v>
      </c>
      <c r="B214" s="42" t="s">
        <v>783</v>
      </c>
      <c r="C214" s="42" t="s">
        <v>477</v>
      </c>
      <c r="D214" s="42" t="s">
        <v>44</v>
      </c>
      <c r="E214" s="42" t="s">
        <v>774</v>
      </c>
      <c r="F214" s="42">
        <v>75.0</v>
      </c>
      <c r="G214" s="42" t="s">
        <v>468</v>
      </c>
      <c r="H214" s="42" t="s">
        <v>86</v>
      </c>
      <c r="I214" s="42" t="s">
        <v>775</v>
      </c>
      <c r="J214" s="42" t="s">
        <v>776</v>
      </c>
      <c r="K214" s="42" t="s">
        <v>784</v>
      </c>
      <c r="L214" s="42" t="s">
        <v>777</v>
      </c>
      <c r="M214" s="43">
        <v>46213.0</v>
      </c>
    </row>
    <row r="215" ht="15.75" customHeight="1">
      <c r="A215" s="42" t="s">
        <v>78</v>
      </c>
      <c r="B215" s="42" t="s">
        <v>783</v>
      </c>
      <c r="C215" s="42" t="s">
        <v>485</v>
      </c>
      <c r="D215" s="42" t="s">
        <v>45</v>
      </c>
      <c r="E215" s="42" t="s">
        <v>774</v>
      </c>
      <c r="F215" s="42">
        <v>93.0</v>
      </c>
      <c r="G215" s="42" t="s">
        <v>468</v>
      </c>
      <c r="H215" s="42" t="s">
        <v>86</v>
      </c>
      <c r="I215" s="42" t="s">
        <v>775</v>
      </c>
      <c r="J215" s="42" t="s">
        <v>776</v>
      </c>
      <c r="K215" s="42" t="s">
        <v>784</v>
      </c>
      <c r="L215" s="42" t="s">
        <v>777</v>
      </c>
      <c r="M215" s="43">
        <v>46213.0</v>
      </c>
    </row>
    <row r="216" ht="15.75" customHeight="1">
      <c r="A216" s="42" t="s">
        <v>78</v>
      </c>
      <c r="B216" s="42" t="s">
        <v>783</v>
      </c>
      <c r="C216" s="42" t="s">
        <v>479</v>
      </c>
      <c r="D216" s="42" t="s">
        <v>779</v>
      </c>
      <c r="E216" s="42" t="s">
        <v>780</v>
      </c>
      <c r="F216" s="42">
        <v>79.3</v>
      </c>
      <c r="G216" s="42" t="s">
        <v>468</v>
      </c>
      <c r="H216" s="42" t="s">
        <v>86</v>
      </c>
      <c r="I216" s="42" t="s">
        <v>775</v>
      </c>
      <c r="J216" s="42" t="s">
        <v>776</v>
      </c>
      <c r="K216" s="42" t="s">
        <v>784</v>
      </c>
      <c r="L216" s="42" t="s">
        <v>777</v>
      </c>
      <c r="M216" s="43">
        <v>46213.0</v>
      </c>
    </row>
    <row r="217" ht="15.75" customHeight="1">
      <c r="A217" s="42" t="s">
        <v>78</v>
      </c>
      <c r="B217" s="42" t="s">
        <v>785</v>
      </c>
      <c r="C217" s="42" t="s">
        <v>466</v>
      </c>
      <c r="D217" s="42" t="s">
        <v>37</v>
      </c>
      <c r="E217" s="42" t="s">
        <v>774</v>
      </c>
      <c r="F217" s="42">
        <v>54.4</v>
      </c>
      <c r="G217" s="42" t="s">
        <v>468</v>
      </c>
      <c r="H217" s="42" t="s">
        <v>86</v>
      </c>
      <c r="I217" s="42" t="s">
        <v>775</v>
      </c>
      <c r="J217" s="42" t="s">
        <v>776</v>
      </c>
      <c r="K217" s="42" t="s">
        <v>786</v>
      </c>
      <c r="L217" s="42" t="s">
        <v>777</v>
      </c>
      <c r="M217" s="43">
        <v>46213.0</v>
      </c>
    </row>
    <row r="218" ht="15.75" customHeight="1">
      <c r="A218" s="42" t="s">
        <v>78</v>
      </c>
      <c r="B218" s="42" t="s">
        <v>785</v>
      </c>
      <c r="C218" s="42" t="s">
        <v>472</v>
      </c>
      <c r="D218" s="42" t="s">
        <v>473</v>
      </c>
      <c r="E218" s="42" t="s">
        <v>782</v>
      </c>
      <c r="F218" s="42">
        <v>60.0</v>
      </c>
      <c r="G218" s="42" t="s">
        <v>468</v>
      </c>
      <c r="H218" s="42" t="s">
        <v>86</v>
      </c>
      <c r="I218" s="42" t="s">
        <v>775</v>
      </c>
      <c r="J218" s="42" t="s">
        <v>776</v>
      </c>
      <c r="K218" s="42" t="s">
        <v>786</v>
      </c>
      <c r="L218" s="42" t="s">
        <v>777</v>
      </c>
      <c r="M218" s="43">
        <v>46213.0</v>
      </c>
    </row>
    <row r="219" ht="15.75" customHeight="1">
      <c r="A219" s="42" t="s">
        <v>78</v>
      </c>
      <c r="B219" s="42" t="s">
        <v>785</v>
      </c>
      <c r="C219" s="42" t="s">
        <v>475</v>
      </c>
      <c r="D219" s="42" t="s">
        <v>42</v>
      </c>
      <c r="E219" s="42" t="s">
        <v>774</v>
      </c>
      <c r="F219" s="42">
        <v>42.9</v>
      </c>
      <c r="G219" s="42" t="s">
        <v>468</v>
      </c>
      <c r="H219" s="42" t="s">
        <v>86</v>
      </c>
      <c r="I219" s="42" t="s">
        <v>775</v>
      </c>
      <c r="J219" s="42" t="s">
        <v>776</v>
      </c>
      <c r="K219" s="42" t="s">
        <v>786</v>
      </c>
      <c r="L219" s="42" t="s">
        <v>777</v>
      </c>
      <c r="M219" s="43">
        <v>46213.0</v>
      </c>
    </row>
    <row r="220" ht="15.75" customHeight="1">
      <c r="A220" s="42" t="s">
        <v>78</v>
      </c>
      <c r="B220" s="42" t="s">
        <v>785</v>
      </c>
      <c r="C220" s="42" t="s">
        <v>475</v>
      </c>
      <c r="D220" s="42" t="s">
        <v>43</v>
      </c>
      <c r="E220" s="42" t="s">
        <v>774</v>
      </c>
      <c r="F220" s="42">
        <v>57.7</v>
      </c>
      <c r="G220" s="42" t="s">
        <v>468</v>
      </c>
      <c r="H220" s="42" t="s">
        <v>86</v>
      </c>
      <c r="I220" s="42" t="s">
        <v>775</v>
      </c>
      <c r="J220" s="42" t="s">
        <v>776</v>
      </c>
      <c r="K220" s="42" t="s">
        <v>786</v>
      </c>
      <c r="L220" s="42" t="s">
        <v>777</v>
      </c>
      <c r="M220" s="43">
        <v>46213.0</v>
      </c>
    </row>
    <row r="221" ht="15.75" customHeight="1">
      <c r="A221" s="42" t="s">
        <v>78</v>
      </c>
      <c r="B221" s="42" t="s">
        <v>785</v>
      </c>
      <c r="C221" s="42" t="s">
        <v>477</v>
      </c>
      <c r="D221" s="42" t="s">
        <v>44</v>
      </c>
      <c r="E221" s="42" t="s">
        <v>774</v>
      </c>
      <c r="F221" s="42">
        <v>72.1</v>
      </c>
      <c r="G221" s="42" t="s">
        <v>468</v>
      </c>
      <c r="H221" s="42" t="s">
        <v>86</v>
      </c>
      <c r="I221" s="42" t="s">
        <v>775</v>
      </c>
      <c r="J221" s="42" t="s">
        <v>776</v>
      </c>
      <c r="K221" s="42" t="s">
        <v>786</v>
      </c>
      <c r="L221" s="42" t="s">
        <v>777</v>
      </c>
      <c r="M221" s="43">
        <v>46213.0</v>
      </c>
    </row>
    <row r="222" ht="15.75" customHeight="1">
      <c r="A222" s="42" t="s">
        <v>78</v>
      </c>
      <c r="B222" s="42" t="s">
        <v>785</v>
      </c>
      <c r="C222" s="42" t="s">
        <v>485</v>
      </c>
      <c r="D222" s="42" t="s">
        <v>45</v>
      </c>
      <c r="E222" s="42" t="s">
        <v>774</v>
      </c>
      <c r="F222" s="42">
        <v>88.0</v>
      </c>
      <c r="G222" s="42" t="s">
        <v>468</v>
      </c>
      <c r="H222" s="42" t="s">
        <v>86</v>
      </c>
      <c r="I222" s="42" t="s">
        <v>775</v>
      </c>
      <c r="J222" s="42" t="s">
        <v>776</v>
      </c>
      <c r="K222" s="42" t="s">
        <v>786</v>
      </c>
      <c r="L222" s="42" t="s">
        <v>777</v>
      </c>
      <c r="M222" s="43">
        <v>46213.0</v>
      </c>
    </row>
    <row r="223" ht="15.75" customHeight="1">
      <c r="A223" s="42" t="s">
        <v>78</v>
      </c>
      <c r="B223" s="42" t="s">
        <v>785</v>
      </c>
      <c r="C223" s="42" t="s">
        <v>479</v>
      </c>
      <c r="D223" s="42" t="s">
        <v>779</v>
      </c>
      <c r="E223" s="42" t="s">
        <v>780</v>
      </c>
      <c r="F223" s="42">
        <v>33.6</v>
      </c>
      <c r="G223" s="42" t="s">
        <v>468</v>
      </c>
      <c r="H223" s="42" t="s">
        <v>86</v>
      </c>
      <c r="I223" s="42" t="s">
        <v>775</v>
      </c>
      <c r="J223" s="42" t="s">
        <v>776</v>
      </c>
      <c r="K223" s="42" t="s">
        <v>786</v>
      </c>
      <c r="L223" s="42" t="s">
        <v>777</v>
      </c>
      <c r="M223" s="43">
        <v>46213.0</v>
      </c>
    </row>
    <row r="224" ht="15.75" customHeight="1">
      <c r="A224" s="42" t="s">
        <v>113</v>
      </c>
      <c r="B224" s="42" t="s">
        <v>115</v>
      </c>
      <c r="C224" s="42" t="s">
        <v>466</v>
      </c>
      <c r="D224" s="42" t="s">
        <v>37</v>
      </c>
      <c r="E224" s="42" t="s">
        <v>774</v>
      </c>
      <c r="F224" s="42">
        <v>62.1</v>
      </c>
      <c r="G224" s="42" t="s">
        <v>468</v>
      </c>
      <c r="H224" s="42" t="s">
        <v>86</v>
      </c>
      <c r="I224" s="42" t="s">
        <v>775</v>
      </c>
      <c r="J224" s="42" t="s">
        <v>776</v>
      </c>
      <c r="K224" s="42" t="s">
        <v>128</v>
      </c>
      <c r="L224" s="42" t="s">
        <v>777</v>
      </c>
      <c r="M224" s="43">
        <v>46213.0</v>
      </c>
    </row>
    <row r="225" ht="15.75" customHeight="1">
      <c r="A225" s="42" t="s">
        <v>113</v>
      </c>
      <c r="B225" s="42" t="s">
        <v>115</v>
      </c>
      <c r="C225" s="42" t="s">
        <v>472</v>
      </c>
      <c r="D225" s="42" t="s">
        <v>473</v>
      </c>
      <c r="E225" s="42" t="s">
        <v>778</v>
      </c>
      <c r="F225" s="42">
        <v>81.0</v>
      </c>
      <c r="G225" s="42" t="s">
        <v>468</v>
      </c>
      <c r="H225" s="42" t="s">
        <v>86</v>
      </c>
      <c r="I225" s="42" t="s">
        <v>775</v>
      </c>
      <c r="J225" s="42" t="s">
        <v>776</v>
      </c>
      <c r="K225" s="42" t="s">
        <v>128</v>
      </c>
      <c r="L225" s="42" t="s">
        <v>777</v>
      </c>
      <c r="M225" s="43">
        <v>46213.0</v>
      </c>
    </row>
    <row r="226" ht="15.75" customHeight="1">
      <c r="A226" s="42" t="s">
        <v>113</v>
      </c>
      <c r="B226" s="42" t="s">
        <v>129</v>
      </c>
      <c r="C226" s="42" t="s">
        <v>466</v>
      </c>
      <c r="D226" s="42" t="s">
        <v>37</v>
      </c>
      <c r="E226" s="42" t="s">
        <v>774</v>
      </c>
      <c r="F226" s="42">
        <v>58.4</v>
      </c>
      <c r="G226" s="42" t="s">
        <v>468</v>
      </c>
      <c r="H226" s="42" t="s">
        <v>86</v>
      </c>
      <c r="I226" s="42" t="s">
        <v>775</v>
      </c>
      <c r="J226" s="42" t="s">
        <v>776</v>
      </c>
      <c r="K226" s="42" t="s">
        <v>128</v>
      </c>
      <c r="L226" s="42" t="s">
        <v>777</v>
      </c>
      <c r="M226" s="43">
        <v>46213.0</v>
      </c>
    </row>
    <row r="227" ht="15.75" customHeight="1">
      <c r="A227" s="42" t="s">
        <v>113</v>
      </c>
      <c r="B227" s="42" t="s">
        <v>129</v>
      </c>
      <c r="C227" s="42" t="s">
        <v>472</v>
      </c>
      <c r="D227" s="42" t="s">
        <v>473</v>
      </c>
      <c r="E227" s="42" t="s">
        <v>778</v>
      </c>
      <c r="F227" s="42">
        <v>63.5</v>
      </c>
      <c r="G227" s="42" t="s">
        <v>468</v>
      </c>
      <c r="H227" s="42" t="s">
        <v>86</v>
      </c>
      <c r="I227" s="42" t="s">
        <v>775</v>
      </c>
      <c r="J227" s="42" t="s">
        <v>776</v>
      </c>
      <c r="K227" s="42" t="s">
        <v>128</v>
      </c>
      <c r="L227" s="42" t="s">
        <v>777</v>
      </c>
      <c r="M227" s="43">
        <v>46213.0</v>
      </c>
    </row>
    <row r="228" ht="15.75" customHeight="1">
      <c r="A228" s="42" t="s">
        <v>113</v>
      </c>
      <c r="B228" s="42" t="s">
        <v>135</v>
      </c>
      <c r="C228" s="42" t="s">
        <v>475</v>
      </c>
      <c r="D228" s="42" t="s">
        <v>43</v>
      </c>
      <c r="E228" s="42" t="s">
        <v>774</v>
      </c>
      <c r="F228" s="42">
        <v>76.0</v>
      </c>
      <c r="G228" s="42" t="s">
        <v>468</v>
      </c>
      <c r="H228" s="42" t="s">
        <v>86</v>
      </c>
      <c r="I228" s="42" t="s">
        <v>775</v>
      </c>
      <c r="J228" s="42" t="s">
        <v>776</v>
      </c>
      <c r="K228" s="42" t="s">
        <v>146</v>
      </c>
      <c r="L228" s="42" t="s">
        <v>777</v>
      </c>
      <c r="M228" s="43">
        <v>46213.0</v>
      </c>
    </row>
    <row r="229" ht="15.75" customHeight="1">
      <c r="A229" s="42" t="s">
        <v>113</v>
      </c>
      <c r="B229" s="42" t="s">
        <v>147</v>
      </c>
      <c r="C229" s="42" t="s">
        <v>466</v>
      </c>
      <c r="D229" s="42" t="s">
        <v>37</v>
      </c>
      <c r="E229" s="42" t="s">
        <v>774</v>
      </c>
      <c r="F229" s="42">
        <v>58.6</v>
      </c>
      <c r="G229" s="42" t="s">
        <v>468</v>
      </c>
      <c r="H229" s="42" t="s">
        <v>86</v>
      </c>
      <c r="I229" s="42" t="s">
        <v>775</v>
      </c>
      <c r="J229" s="42" t="s">
        <v>776</v>
      </c>
      <c r="K229" s="42" t="s">
        <v>155</v>
      </c>
      <c r="L229" s="42" t="s">
        <v>777</v>
      </c>
      <c r="M229" s="43">
        <v>46213.0</v>
      </c>
    </row>
    <row r="230" ht="15.75" customHeight="1">
      <c r="A230" s="42" t="s">
        <v>113</v>
      </c>
      <c r="B230" s="42" t="s">
        <v>147</v>
      </c>
      <c r="C230" s="42" t="s">
        <v>472</v>
      </c>
      <c r="D230" s="42" t="s">
        <v>473</v>
      </c>
      <c r="E230" s="42" t="s">
        <v>782</v>
      </c>
      <c r="F230" s="42">
        <v>66.7</v>
      </c>
      <c r="G230" s="42" t="s">
        <v>468</v>
      </c>
      <c r="H230" s="42" t="s">
        <v>86</v>
      </c>
      <c r="I230" s="42" t="s">
        <v>775</v>
      </c>
      <c r="J230" s="42" t="s">
        <v>776</v>
      </c>
      <c r="K230" s="42" t="s">
        <v>155</v>
      </c>
      <c r="L230" s="42" t="s">
        <v>777</v>
      </c>
      <c r="M230" s="43">
        <v>46213.0</v>
      </c>
    </row>
    <row r="231" ht="15.75" customHeight="1">
      <c r="A231" s="42" t="s">
        <v>113</v>
      </c>
      <c r="B231" s="42" t="s">
        <v>147</v>
      </c>
      <c r="C231" s="42" t="s">
        <v>466</v>
      </c>
      <c r="D231" s="42" t="s">
        <v>41</v>
      </c>
      <c r="E231" s="42" t="s">
        <v>774</v>
      </c>
      <c r="F231" s="42">
        <v>80.2</v>
      </c>
      <c r="G231" s="42" t="s">
        <v>468</v>
      </c>
      <c r="H231" s="42" t="s">
        <v>86</v>
      </c>
      <c r="I231" s="42" t="s">
        <v>775</v>
      </c>
      <c r="J231" s="42" t="s">
        <v>776</v>
      </c>
      <c r="K231" s="42" t="s">
        <v>155</v>
      </c>
      <c r="L231" s="42" t="s">
        <v>777</v>
      </c>
      <c r="M231" s="43">
        <v>46213.0</v>
      </c>
    </row>
    <row r="232" ht="15.75" customHeight="1">
      <c r="A232" s="42" t="s">
        <v>113</v>
      </c>
      <c r="B232" s="42" t="s">
        <v>147</v>
      </c>
      <c r="C232" s="42" t="s">
        <v>475</v>
      </c>
      <c r="D232" s="42" t="s">
        <v>42</v>
      </c>
      <c r="E232" s="42" t="s">
        <v>774</v>
      </c>
      <c r="F232" s="42">
        <v>50.0</v>
      </c>
      <c r="G232" s="42" t="s">
        <v>468</v>
      </c>
      <c r="H232" s="42" t="s">
        <v>86</v>
      </c>
      <c r="I232" s="42" t="s">
        <v>775</v>
      </c>
      <c r="J232" s="42" t="s">
        <v>776</v>
      </c>
      <c r="K232" s="42" t="s">
        <v>155</v>
      </c>
      <c r="L232" s="42" t="s">
        <v>777</v>
      </c>
      <c r="M232" s="43">
        <v>46213.0</v>
      </c>
    </row>
    <row r="233" ht="15.75" customHeight="1">
      <c r="A233" s="42" t="s">
        <v>113</v>
      </c>
      <c r="B233" s="42" t="s">
        <v>147</v>
      </c>
      <c r="C233" s="42" t="s">
        <v>477</v>
      </c>
      <c r="D233" s="42" t="s">
        <v>44</v>
      </c>
      <c r="E233" s="42" t="s">
        <v>774</v>
      </c>
      <c r="F233" s="42">
        <v>73.1</v>
      </c>
      <c r="G233" s="42" t="s">
        <v>468</v>
      </c>
      <c r="H233" s="42" t="s">
        <v>86</v>
      </c>
      <c r="I233" s="42" t="s">
        <v>775</v>
      </c>
      <c r="J233" s="42" t="s">
        <v>776</v>
      </c>
      <c r="K233" s="42" t="s">
        <v>155</v>
      </c>
      <c r="L233" s="42" t="s">
        <v>777</v>
      </c>
      <c r="M233" s="43">
        <v>46213.0</v>
      </c>
    </row>
    <row r="234" ht="15.75" customHeight="1">
      <c r="A234" s="42" t="s">
        <v>113</v>
      </c>
      <c r="B234" s="42" t="s">
        <v>147</v>
      </c>
      <c r="C234" s="42" t="s">
        <v>485</v>
      </c>
      <c r="D234" s="42" t="s">
        <v>45</v>
      </c>
      <c r="E234" s="42" t="s">
        <v>774</v>
      </c>
      <c r="F234" s="42">
        <v>90.5</v>
      </c>
      <c r="G234" s="42" t="s">
        <v>468</v>
      </c>
      <c r="H234" s="42" t="s">
        <v>86</v>
      </c>
      <c r="I234" s="42" t="s">
        <v>775</v>
      </c>
      <c r="J234" s="42" t="s">
        <v>776</v>
      </c>
      <c r="K234" s="42" t="s">
        <v>155</v>
      </c>
      <c r="L234" s="42" t="s">
        <v>777</v>
      </c>
      <c r="M234" s="43">
        <v>46213.0</v>
      </c>
    </row>
    <row r="235" ht="15.75" customHeight="1">
      <c r="A235" s="42" t="s">
        <v>113</v>
      </c>
      <c r="B235" s="42" t="s">
        <v>156</v>
      </c>
      <c r="C235" s="42" t="s">
        <v>466</v>
      </c>
      <c r="D235" s="42" t="s">
        <v>37</v>
      </c>
      <c r="E235" s="42" t="s">
        <v>774</v>
      </c>
      <c r="F235" s="42">
        <v>55.0</v>
      </c>
      <c r="G235" s="42" t="s">
        <v>468</v>
      </c>
      <c r="H235" s="42" t="s">
        <v>86</v>
      </c>
      <c r="I235" s="42" t="s">
        <v>775</v>
      </c>
      <c r="J235" s="42" t="s">
        <v>776</v>
      </c>
      <c r="K235" s="42" t="s">
        <v>166</v>
      </c>
      <c r="L235" s="42" t="s">
        <v>777</v>
      </c>
      <c r="M235" s="43">
        <v>46213.0</v>
      </c>
    </row>
    <row r="236" ht="15.75" customHeight="1">
      <c r="A236" s="42" t="s">
        <v>113</v>
      </c>
      <c r="B236" s="42" t="s">
        <v>156</v>
      </c>
      <c r="C236" s="42" t="s">
        <v>472</v>
      </c>
      <c r="D236" s="42" t="s">
        <v>473</v>
      </c>
      <c r="E236" s="42" t="s">
        <v>782</v>
      </c>
      <c r="F236" s="42">
        <v>57.1</v>
      </c>
      <c r="G236" s="42" t="s">
        <v>468</v>
      </c>
      <c r="H236" s="42" t="s">
        <v>86</v>
      </c>
      <c r="I236" s="42" t="s">
        <v>775</v>
      </c>
      <c r="J236" s="42" t="s">
        <v>776</v>
      </c>
      <c r="K236" s="42" t="s">
        <v>166</v>
      </c>
      <c r="L236" s="42" t="s">
        <v>777</v>
      </c>
      <c r="M236" s="43">
        <v>46213.0</v>
      </c>
    </row>
    <row r="237" ht="15.75" customHeight="1">
      <c r="A237" s="42" t="s">
        <v>113</v>
      </c>
      <c r="B237" s="42" t="s">
        <v>156</v>
      </c>
      <c r="C237" s="42" t="s">
        <v>466</v>
      </c>
      <c r="D237" s="42" t="s">
        <v>41</v>
      </c>
      <c r="E237" s="42" t="s">
        <v>774</v>
      </c>
      <c r="F237" s="42">
        <v>78.0</v>
      </c>
      <c r="G237" s="42" t="s">
        <v>468</v>
      </c>
      <c r="H237" s="42" t="s">
        <v>86</v>
      </c>
      <c r="I237" s="42" t="s">
        <v>775</v>
      </c>
      <c r="J237" s="42" t="s">
        <v>776</v>
      </c>
      <c r="K237" s="42" t="s">
        <v>166</v>
      </c>
      <c r="L237" s="42" t="s">
        <v>777</v>
      </c>
      <c r="M237" s="43">
        <v>46213.0</v>
      </c>
    </row>
    <row r="238" ht="15.75" customHeight="1">
      <c r="A238" s="42" t="s">
        <v>113</v>
      </c>
      <c r="B238" s="42" t="s">
        <v>167</v>
      </c>
      <c r="C238" s="42" t="s">
        <v>466</v>
      </c>
      <c r="D238" s="42" t="s">
        <v>37</v>
      </c>
      <c r="E238" s="42" t="s">
        <v>774</v>
      </c>
      <c r="F238" s="42">
        <v>57.2</v>
      </c>
      <c r="G238" s="42" t="s">
        <v>468</v>
      </c>
      <c r="H238" s="42" t="s">
        <v>86</v>
      </c>
      <c r="I238" s="42" t="s">
        <v>775</v>
      </c>
      <c r="J238" s="42" t="s">
        <v>776</v>
      </c>
      <c r="K238" s="42" t="s">
        <v>166</v>
      </c>
      <c r="L238" s="42" t="s">
        <v>777</v>
      </c>
      <c r="M238" s="43">
        <v>46213.0</v>
      </c>
    </row>
    <row r="239" ht="15.75" customHeight="1">
      <c r="A239" s="42" t="s">
        <v>113</v>
      </c>
      <c r="B239" s="42" t="s">
        <v>167</v>
      </c>
      <c r="C239" s="42" t="s">
        <v>472</v>
      </c>
      <c r="D239" s="42" t="s">
        <v>473</v>
      </c>
      <c r="E239" s="42" t="s">
        <v>782</v>
      </c>
      <c r="F239" s="42">
        <v>68.4</v>
      </c>
      <c r="G239" s="42" t="s">
        <v>468</v>
      </c>
      <c r="H239" s="42" t="s">
        <v>86</v>
      </c>
      <c r="I239" s="42" t="s">
        <v>775</v>
      </c>
      <c r="J239" s="42" t="s">
        <v>776</v>
      </c>
      <c r="K239" s="42" t="s">
        <v>166</v>
      </c>
      <c r="L239" s="42" t="s">
        <v>777</v>
      </c>
      <c r="M239" s="43">
        <v>46213.0</v>
      </c>
    </row>
    <row r="240" ht="15.75" customHeight="1">
      <c r="A240" s="42" t="s">
        <v>113</v>
      </c>
      <c r="B240" s="42" t="s">
        <v>167</v>
      </c>
      <c r="C240" s="42" t="s">
        <v>466</v>
      </c>
      <c r="D240" s="42" t="s">
        <v>41</v>
      </c>
      <c r="E240" s="42" t="s">
        <v>774</v>
      </c>
      <c r="F240" s="42">
        <v>78.9</v>
      </c>
      <c r="G240" s="42" t="s">
        <v>468</v>
      </c>
      <c r="H240" s="42" t="s">
        <v>86</v>
      </c>
      <c r="I240" s="42" t="s">
        <v>775</v>
      </c>
      <c r="J240" s="42" t="s">
        <v>776</v>
      </c>
      <c r="K240" s="42" t="s">
        <v>166</v>
      </c>
      <c r="L240" s="42" t="s">
        <v>777</v>
      </c>
      <c r="M240" s="43">
        <v>46213.0</v>
      </c>
    </row>
    <row r="241" ht="15.75" customHeight="1">
      <c r="A241" s="42" t="s">
        <v>113</v>
      </c>
      <c r="B241" s="42" t="s">
        <v>174</v>
      </c>
      <c r="C241" s="42" t="s">
        <v>466</v>
      </c>
      <c r="D241" s="42" t="s">
        <v>37</v>
      </c>
      <c r="E241" s="42" t="s">
        <v>774</v>
      </c>
      <c r="F241" s="42">
        <v>59.0</v>
      </c>
      <c r="G241" s="42" t="s">
        <v>468</v>
      </c>
      <c r="H241" s="42" t="s">
        <v>86</v>
      </c>
      <c r="I241" s="42" t="s">
        <v>775</v>
      </c>
      <c r="J241" s="42" t="s">
        <v>776</v>
      </c>
      <c r="K241" s="42" t="s">
        <v>183</v>
      </c>
      <c r="L241" s="42" t="s">
        <v>777</v>
      </c>
      <c r="M241" s="43">
        <v>46213.0</v>
      </c>
    </row>
    <row r="242" ht="15.75" customHeight="1">
      <c r="A242" s="42" t="s">
        <v>113</v>
      </c>
      <c r="B242" s="42" t="s">
        <v>174</v>
      </c>
      <c r="C242" s="42" t="s">
        <v>472</v>
      </c>
      <c r="D242" s="42" t="s">
        <v>473</v>
      </c>
      <c r="E242" s="42" t="s">
        <v>778</v>
      </c>
      <c r="F242" s="42">
        <v>66.0</v>
      </c>
      <c r="G242" s="42" t="s">
        <v>468</v>
      </c>
      <c r="H242" s="42" t="s">
        <v>86</v>
      </c>
      <c r="I242" s="42" t="s">
        <v>775</v>
      </c>
      <c r="J242" s="42" t="s">
        <v>776</v>
      </c>
      <c r="K242" s="42" t="s">
        <v>183</v>
      </c>
      <c r="L242" s="42" t="s">
        <v>777</v>
      </c>
      <c r="M242" s="43">
        <v>46213.0</v>
      </c>
    </row>
    <row r="243" ht="15.75" customHeight="1">
      <c r="A243" s="42" t="s">
        <v>113</v>
      </c>
      <c r="B243" s="42" t="s">
        <v>174</v>
      </c>
      <c r="C243" s="42" t="s">
        <v>475</v>
      </c>
      <c r="D243" s="42" t="s">
        <v>43</v>
      </c>
      <c r="E243" s="42" t="s">
        <v>774</v>
      </c>
      <c r="F243" s="42">
        <v>74.2</v>
      </c>
      <c r="G243" s="42" t="s">
        <v>468</v>
      </c>
      <c r="H243" s="42" t="s">
        <v>86</v>
      </c>
      <c r="I243" s="42" t="s">
        <v>775</v>
      </c>
      <c r="J243" s="42" t="s">
        <v>776</v>
      </c>
      <c r="K243" s="42" t="s">
        <v>183</v>
      </c>
      <c r="L243" s="42" t="s">
        <v>777</v>
      </c>
      <c r="M243" s="43">
        <v>46213.0</v>
      </c>
    </row>
    <row r="244" ht="15.75" customHeight="1">
      <c r="A244" s="42" t="s">
        <v>113</v>
      </c>
      <c r="B244" s="42" t="s">
        <v>184</v>
      </c>
      <c r="C244" s="42" t="s">
        <v>466</v>
      </c>
      <c r="D244" s="42" t="s">
        <v>37</v>
      </c>
      <c r="E244" s="42" t="s">
        <v>774</v>
      </c>
      <c r="F244" s="42">
        <v>56.2</v>
      </c>
      <c r="G244" s="42" t="s">
        <v>468</v>
      </c>
      <c r="H244" s="42" t="s">
        <v>86</v>
      </c>
      <c r="I244" s="42" t="s">
        <v>775</v>
      </c>
      <c r="J244" s="42" t="s">
        <v>776</v>
      </c>
      <c r="K244" s="42" t="s">
        <v>192</v>
      </c>
      <c r="L244" s="42" t="s">
        <v>777</v>
      </c>
      <c r="M244" s="43">
        <v>46213.0</v>
      </c>
    </row>
    <row r="245" ht="15.75" customHeight="1">
      <c r="A245" s="42" t="s">
        <v>113</v>
      </c>
      <c r="B245" s="42" t="s">
        <v>184</v>
      </c>
      <c r="C245" s="42" t="s">
        <v>472</v>
      </c>
      <c r="D245" s="42" t="s">
        <v>473</v>
      </c>
      <c r="E245" s="42" t="s">
        <v>782</v>
      </c>
      <c r="F245" s="42">
        <v>57.0</v>
      </c>
      <c r="G245" s="42" t="s">
        <v>468</v>
      </c>
      <c r="H245" s="42" t="s">
        <v>86</v>
      </c>
      <c r="I245" s="42" t="s">
        <v>775</v>
      </c>
      <c r="J245" s="42" t="s">
        <v>776</v>
      </c>
      <c r="K245" s="42" t="s">
        <v>192</v>
      </c>
      <c r="L245" s="42" t="s">
        <v>777</v>
      </c>
      <c r="M245" s="43">
        <v>46213.0</v>
      </c>
    </row>
    <row r="246" ht="15.75" customHeight="1">
      <c r="A246" s="42" t="s">
        <v>113</v>
      </c>
      <c r="B246" s="42" t="s">
        <v>184</v>
      </c>
      <c r="C246" s="42" t="s">
        <v>475</v>
      </c>
      <c r="D246" s="42" t="s">
        <v>42</v>
      </c>
      <c r="E246" s="42" t="s">
        <v>774</v>
      </c>
      <c r="F246" s="42">
        <v>46.3</v>
      </c>
      <c r="G246" s="42" t="s">
        <v>468</v>
      </c>
      <c r="H246" s="42" t="s">
        <v>86</v>
      </c>
      <c r="I246" s="42" t="s">
        <v>775</v>
      </c>
      <c r="J246" s="42" t="s">
        <v>776</v>
      </c>
      <c r="K246" s="42" t="s">
        <v>192</v>
      </c>
      <c r="L246" s="42" t="s">
        <v>777</v>
      </c>
      <c r="M246" s="43">
        <v>46213.0</v>
      </c>
    </row>
    <row r="247" ht="15.75" customHeight="1">
      <c r="A247" s="42" t="s">
        <v>113</v>
      </c>
      <c r="B247" s="42" t="s">
        <v>184</v>
      </c>
      <c r="C247" s="42" t="s">
        <v>485</v>
      </c>
      <c r="D247" s="42" t="s">
        <v>45</v>
      </c>
      <c r="E247" s="42" t="s">
        <v>774</v>
      </c>
      <c r="F247" s="42">
        <v>89.8</v>
      </c>
      <c r="G247" s="42" t="s">
        <v>468</v>
      </c>
      <c r="H247" s="42" t="s">
        <v>86</v>
      </c>
      <c r="I247" s="42" t="s">
        <v>775</v>
      </c>
      <c r="J247" s="42" t="s">
        <v>776</v>
      </c>
      <c r="K247" s="42" t="s">
        <v>192</v>
      </c>
      <c r="L247" s="42" t="s">
        <v>777</v>
      </c>
      <c r="M247" s="43">
        <v>46213.0</v>
      </c>
    </row>
    <row r="248" ht="15.75" customHeight="1">
      <c r="A248" s="42" t="s">
        <v>113</v>
      </c>
      <c r="B248" s="42" t="s">
        <v>193</v>
      </c>
      <c r="C248" s="42" t="s">
        <v>466</v>
      </c>
      <c r="D248" s="42" t="s">
        <v>37</v>
      </c>
      <c r="E248" s="42" t="s">
        <v>774</v>
      </c>
      <c r="F248" s="42">
        <v>60.6</v>
      </c>
      <c r="G248" s="42" t="s">
        <v>468</v>
      </c>
      <c r="H248" s="42" t="s">
        <v>86</v>
      </c>
      <c r="I248" s="42" t="s">
        <v>775</v>
      </c>
      <c r="J248" s="42" t="s">
        <v>776</v>
      </c>
      <c r="K248" s="42" t="s">
        <v>201</v>
      </c>
      <c r="L248" s="42" t="s">
        <v>777</v>
      </c>
      <c r="M248" s="43">
        <v>46213.0</v>
      </c>
    </row>
    <row r="249" ht="15.75" customHeight="1">
      <c r="A249" s="42" t="s">
        <v>113</v>
      </c>
      <c r="B249" s="42" t="s">
        <v>193</v>
      </c>
      <c r="C249" s="42" t="s">
        <v>472</v>
      </c>
      <c r="D249" s="42" t="s">
        <v>473</v>
      </c>
      <c r="E249" s="42" t="s">
        <v>782</v>
      </c>
      <c r="F249" s="42">
        <v>69.7</v>
      </c>
      <c r="G249" s="42" t="s">
        <v>468</v>
      </c>
      <c r="H249" s="42" t="s">
        <v>86</v>
      </c>
      <c r="I249" s="42" t="s">
        <v>775</v>
      </c>
      <c r="J249" s="42" t="s">
        <v>776</v>
      </c>
      <c r="K249" s="42" t="s">
        <v>201</v>
      </c>
      <c r="L249" s="42" t="s">
        <v>777</v>
      </c>
      <c r="M249" s="43">
        <v>46213.0</v>
      </c>
    </row>
    <row r="250" ht="15.75" customHeight="1">
      <c r="A250" s="42" t="s">
        <v>113</v>
      </c>
      <c r="B250" s="42" t="s">
        <v>193</v>
      </c>
      <c r="C250" s="42" t="s">
        <v>466</v>
      </c>
      <c r="D250" s="42" t="s">
        <v>41</v>
      </c>
      <c r="E250" s="42" t="s">
        <v>774</v>
      </c>
      <c r="F250" s="42">
        <v>80.4</v>
      </c>
      <c r="G250" s="42" t="s">
        <v>468</v>
      </c>
      <c r="H250" s="42" t="s">
        <v>86</v>
      </c>
      <c r="I250" s="42" t="s">
        <v>775</v>
      </c>
      <c r="J250" s="42" t="s">
        <v>776</v>
      </c>
      <c r="K250" s="42" t="s">
        <v>201</v>
      </c>
      <c r="L250" s="42" t="s">
        <v>777</v>
      </c>
      <c r="M250" s="43">
        <v>46213.0</v>
      </c>
    </row>
    <row r="251" ht="15.75" customHeight="1">
      <c r="A251" s="42" t="s">
        <v>113</v>
      </c>
      <c r="B251" s="42" t="s">
        <v>193</v>
      </c>
      <c r="C251" s="42" t="s">
        <v>475</v>
      </c>
      <c r="D251" s="42" t="s">
        <v>43</v>
      </c>
      <c r="E251" s="42" t="s">
        <v>774</v>
      </c>
      <c r="F251" s="42">
        <v>76.4</v>
      </c>
      <c r="G251" s="42" t="s">
        <v>468</v>
      </c>
      <c r="H251" s="42" t="s">
        <v>86</v>
      </c>
      <c r="I251" s="42" t="s">
        <v>775</v>
      </c>
      <c r="J251" s="42" t="s">
        <v>776</v>
      </c>
      <c r="K251" s="42" t="s">
        <v>201</v>
      </c>
      <c r="L251" s="42" t="s">
        <v>777</v>
      </c>
      <c r="M251" s="43">
        <v>46213.0</v>
      </c>
    </row>
    <row r="252" ht="15.75" customHeight="1">
      <c r="A252" s="42" t="s">
        <v>113</v>
      </c>
      <c r="B252" s="42" t="s">
        <v>193</v>
      </c>
      <c r="C252" s="42" t="s">
        <v>485</v>
      </c>
      <c r="D252" s="42" t="s">
        <v>45</v>
      </c>
      <c r="E252" s="42" t="s">
        <v>774</v>
      </c>
      <c r="F252" s="42">
        <v>92.4</v>
      </c>
      <c r="G252" s="42" t="s">
        <v>468</v>
      </c>
      <c r="H252" s="42" t="s">
        <v>86</v>
      </c>
      <c r="I252" s="42" t="s">
        <v>775</v>
      </c>
      <c r="J252" s="42" t="s">
        <v>776</v>
      </c>
      <c r="K252" s="42" t="s">
        <v>201</v>
      </c>
      <c r="L252" s="42" t="s">
        <v>777</v>
      </c>
      <c r="M252" s="43">
        <v>46213.0</v>
      </c>
    </row>
    <row r="253" ht="15.75" customHeight="1">
      <c r="A253" s="42" t="s">
        <v>113</v>
      </c>
      <c r="B253" s="42" t="s">
        <v>202</v>
      </c>
      <c r="C253" s="42" t="s">
        <v>466</v>
      </c>
      <c r="D253" s="42" t="s">
        <v>37</v>
      </c>
      <c r="E253" s="42" t="s">
        <v>774</v>
      </c>
      <c r="F253" s="42">
        <v>57.6</v>
      </c>
      <c r="G253" s="42" t="s">
        <v>468</v>
      </c>
      <c r="H253" s="42" t="s">
        <v>86</v>
      </c>
      <c r="I253" s="42" t="s">
        <v>775</v>
      </c>
      <c r="J253" s="42" t="s">
        <v>776</v>
      </c>
      <c r="K253" s="42" t="s">
        <v>201</v>
      </c>
      <c r="L253" s="42" t="s">
        <v>777</v>
      </c>
      <c r="M253" s="43">
        <v>46213.0</v>
      </c>
    </row>
    <row r="254" ht="15.75" customHeight="1">
      <c r="A254" s="42" t="s">
        <v>113</v>
      </c>
      <c r="B254" s="42" t="s">
        <v>202</v>
      </c>
      <c r="C254" s="42" t="s">
        <v>472</v>
      </c>
      <c r="D254" s="42" t="s">
        <v>473</v>
      </c>
      <c r="E254" s="42" t="s">
        <v>782</v>
      </c>
      <c r="F254" s="42">
        <v>70.3</v>
      </c>
      <c r="G254" s="42" t="s">
        <v>468</v>
      </c>
      <c r="H254" s="42" t="s">
        <v>86</v>
      </c>
      <c r="I254" s="42" t="s">
        <v>775</v>
      </c>
      <c r="J254" s="42" t="s">
        <v>776</v>
      </c>
      <c r="K254" s="42" t="s">
        <v>201</v>
      </c>
      <c r="L254" s="42" t="s">
        <v>777</v>
      </c>
      <c r="M254" s="43">
        <v>46213.0</v>
      </c>
    </row>
    <row r="255" ht="15.75" customHeight="1">
      <c r="A255" s="42" t="s">
        <v>113</v>
      </c>
      <c r="B255" s="42" t="s">
        <v>202</v>
      </c>
      <c r="C255" s="42" t="s">
        <v>466</v>
      </c>
      <c r="D255" s="42" t="s">
        <v>41</v>
      </c>
      <c r="E255" s="42" t="s">
        <v>774</v>
      </c>
      <c r="F255" s="42">
        <v>77.7</v>
      </c>
      <c r="G255" s="42" t="s">
        <v>468</v>
      </c>
      <c r="H255" s="42" t="s">
        <v>86</v>
      </c>
      <c r="I255" s="42" t="s">
        <v>775</v>
      </c>
      <c r="J255" s="42" t="s">
        <v>776</v>
      </c>
      <c r="K255" s="42" t="s">
        <v>201</v>
      </c>
      <c r="L255" s="42" t="s">
        <v>777</v>
      </c>
      <c r="M255" s="43">
        <v>46213.0</v>
      </c>
    </row>
    <row r="256" ht="15.75" customHeight="1">
      <c r="A256" s="42" t="s">
        <v>113</v>
      </c>
      <c r="B256" s="42" t="s">
        <v>209</v>
      </c>
      <c r="C256" s="42" t="s">
        <v>466</v>
      </c>
      <c r="D256" s="42" t="s">
        <v>37</v>
      </c>
      <c r="E256" s="42" t="s">
        <v>774</v>
      </c>
      <c r="F256" s="42">
        <v>56.6</v>
      </c>
      <c r="G256" s="42" t="s">
        <v>468</v>
      </c>
      <c r="H256" s="42" t="s">
        <v>86</v>
      </c>
      <c r="I256" s="42" t="s">
        <v>775</v>
      </c>
      <c r="J256" s="42" t="s">
        <v>776</v>
      </c>
      <c r="K256" s="42" t="s">
        <v>215</v>
      </c>
      <c r="L256" s="42" t="s">
        <v>777</v>
      </c>
      <c r="M256" s="43">
        <v>46213.0</v>
      </c>
    </row>
    <row r="257" ht="15.75" customHeight="1">
      <c r="A257" s="42" t="s">
        <v>113</v>
      </c>
      <c r="B257" s="42" t="s">
        <v>209</v>
      </c>
      <c r="C257" s="42" t="s">
        <v>472</v>
      </c>
      <c r="D257" s="42" t="s">
        <v>473</v>
      </c>
      <c r="E257" s="42" t="s">
        <v>782</v>
      </c>
      <c r="F257" s="42">
        <v>61.6</v>
      </c>
      <c r="G257" s="42" t="s">
        <v>468</v>
      </c>
      <c r="H257" s="42" t="s">
        <v>86</v>
      </c>
      <c r="I257" s="42" t="s">
        <v>775</v>
      </c>
      <c r="J257" s="42" t="s">
        <v>776</v>
      </c>
      <c r="K257" s="42" t="s">
        <v>215</v>
      </c>
      <c r="L257" s="42" t="s">
        <v>777</v>
      </c>
      <c r="M257" s="43">
        <v>46213.0</v>
      </c>
    </row>
    <row r="258" ht="15.75" customHeight="1">
      <c r="A258" s="42" t="s">
        <v>113</v>
      </c>
      <c r="B258" s="42" t="s">
        <v>209</v>
      </c>
      <c r="C258" s="42" t="s">
        <v>466</v>
      </c>
      <c r="D258" s="42" t="s">
        <v>41</v>
      </c>
      <c r="E258" s="42" t="s">
        <v>774</v>
      </c>
      <c r="F258" s="42">
        <v>78.8</v>
      </c>
      <c r="G258" s="42" t="s">
        <v>468</v>
      </c>
      <c r="H258" s="42" t="s">
        <v>86</v>
      </c>
      <c r="I258" s="42" t="s">
        <v>775</v>
      </c>
      <c r="J258" s="42" t="s">
        <v>776</v>
      </c>
      <c r="K258" s="42" t="s">
        <v>215</v>
      </c>
      <c r="L258" s="42" t="s">
        <v>777</v>
      </c>
      <c r="M258" s="43">
        <v>46213.0</v>
      </c>
    </row>
    <row r="259" ht="15.75" customHeight="1">
      <c r="A259" s="42" t="s">
        <v>113</v>
      </c>
      <c r="B259" s="42" t="s">
        <v>216</v>
      </c>
      <c r="C259" s="42" t="s">
        <v>466</v>
      </c>
      <c r="D259" s="42" t="s">
        <v>37</v>
      </c>
      <c r="E259" s="42" t="s">
        <v>774</v>
      </c>
      <c r="F259" s="42">
        <v>55.4</v>
      </c>
      <c r="G259" s="42" t="s">
        <v>468</v>
      </c>
      <c r="H259" s="42" t="s">
        <v>86</v>
      </c>
      <c r="I259" s="42" t="s">
        <v>775</v>
      </c>
      <c r="J259" s="42" t="s">
        <v>776</v>
      </c>
      <c r="K259" s="42" t="s">
        <v>224</v>
      </c>
      <c r="L259" s="42" t="s">
        <v>777</v>
      </c>
      <c r="M259" s="43">
        <v>46213.0</v>
      </c>
    </row>
    <row r="260" ht="15.75" customHeight="1">
      <c r="A260" s="42" t="s">
        <v>113</v>
      </c>
      <c r="B260" s="42" t="s">
        <v>216</v>
      </c>
      <c r="C260" s="42" t="s">
        <v>472</v>
      </c>
      <c r="D260" s="42" t="s">
        <v>473</v>
      </c>
      <c r="E260" s="42" t="s">
        <v>782</v>
      </c>
      <c r="F260" s="42">
        <v>67.9</v>
      </c>
      <c r="G260" s="42" t="s">
        <v>468</v>
      </c>
      <c r="H260" s="42" t="s">
        <v>86</v>
      </c>
      <c r="I260" s="42" t="s">
        <v>775</v>
      </c>
      <c r="J260" s="42" t="s">
        <v>776</v>
      </c>
      <c r="K260" s="42" t="s">
        <v>224</v>
      </c>
      <c r="L260" s="42" t="s">
        <v>777</v>
      </c>
      <c r="M260" s="43">
        <v>46213.0</v>
      </c>
    </row>
    <row r="261" ht="15.75" customHeight="1">
      <c r="A261" s="42" t="s">
        <v>113</v>
      </c>
      <c r="B261" s="42" t="s">
        <v>216</v>
      </c>
      <c r="C261" s="42" t="s">
        <v>466</v>
      </c>
      <c r="D261" s="42" t="s">
        <v>41</v>
      </c>
      <c r="E261" s="42" t="s">
        <v>774</v>
      </c>
      <c r="F261" s="42">
        <v>80.6</v>
      </c>
      <c r="G261" s="42" t="s">
        <v>468</v>
      </c>
      <c r="H261" s="42" t="s">
        <v>86</v>
      </c>
      <c r="I261" s="42" t="s">
        <v>775</v>
      </c>
      <c r="J261" s="42" t="s">
        <v>776</v>
      </c>
      <c r="K261" s="42" t="s">
        <v>224</v>
      </c>
      <c r="L261" s="42" t="s">
        <v>777</v>
      </c>
      <c r="M261" s="43">
        <v>46213.0</v>
      </c>
    </row>
    <row r="262" ht="15.75" customHeight="1">
      <c r="A262" s="42" t="s">
        <v>113</v>
      </c>
      <c r="B262" s="42" t="s">
        <v>216</v>
      </c>
      <c r="C262" s="42" t="s">
        <v>475</v>
      </c>
      <c r="D262" s="42" t="s">
        <v>43</v>
      </c>
      <c r="E262" s="42" t="s">
        <v>774</v>
      </c>
      <c r="F262" s="42">
        <v>73.6</v>
      </c>
      <c r="G262" s="42" t="s">
        <v>468</v>
      </c>
      <c r="H262" s="42" t="s">
        <v>86</v>
      </c>
      <c r="I262" s="42" t="s">
        <v>775</v>
      </c>
      <c r="J262" s="42" t="s">
        <v>776</v>
      </c>
      <c r="K262" s="42" t="s">
        <v>224</v>
      </c>
      <c r="L262" s="42" t="s">
        <v>777</v>
      </c>
      <c r="M262" s="43">
        <v>46213.0</v>
      </c>
    </row>
    <row r="263" ht="15.75" customHeight="1">
      <c r="A263" s="42" t="s">
        <v>113</v>
      </c>
      <c r="B263" s="42" t="s">
        <v>225</v>
      </c>
      <c r="C263" s="42" t="s">
        <v>466</v>
      </c>
      <c r="D263" s="42" t="s">
        <v>37</v>
      </c>
      <c r="E263" s="42" t="s">
        <v>774</v>
      </c>
      <c r="F263" s="42">
        <v>52.6</v>
      </c>
      <c r="G263" s="42" t="s">
        <v>468</v>
      </c>
      <c r="H263" s="42" t="s">
        <v>86</v>
      </c>
      <c r="I263" s="42" t="s">
        <v>775</v>
      </c>
      <c r="J263" s="42" t="s">
        <v>776</v>
      </c>
      <c r="K263" s="42" t="s">
        <v>224</v>
      </c>
      <c r="L263" s="42" t="s">
        <v>777</v>
      </c>
      <c r="M263" s="43">
        <v>46213.0</v>
      </c>
    </row>
    <row r="264" ht="15.75" customHeight="1">
      <c r="A264" s="42" t="s">
        <v>113</v>
      </c>
      <c r="B264" s="42" t="s">
        <v>225</v>
      </c>
      <c r="C264" s="42" t="s">
        <v>472</v>
      </c>
      <c r="D264" s="42" t="s">
        <v>473</v>
      </c>
      <c r="E264" s="42" t="s">
        <v>782</v>
      </c>
      <c r="F264" s="42">
        <v>56.9</v>
      </c>
      <c r="G264" s="42" t="s">
        <v>468</v>
      </c>
      <c r="H264" s="42" t="s">
        <v>86</v>
      </c>
      <c r="I264" s="42" t="s">
        <v>775</v>
      </c>
      <c r="J264" s="42" t="s">
        <v>776</v>
      </c>
      <c r="K264" s="42" t="s">
        <v>224</v>
      </c>
      <c r="L264" s="42" t="s">
        <v>777</v>
      </c>
      <c r="M264" s="43">
        <v>46213.0</v>
      </c>
    </row>
    <row r="265" ht="15.75" customHeight="1">
      <c r="A265" s="42" t="s">
        <v>113</v>
      </c>
      <c r="B265" s="42" t="s">
        <v>225</v>
      </c>
      <c r="C265" s="42" t="s">
        <v>466</v>
      </c>
      <c r="D265" s="42" t="s">
        <v>41</v>
      </c>
      <c r="E265" s="42" t="s">
        <v>774</v>
      </c>
      <c r="F265" s="42">
        <v>79.0</v>
      </c>
      <c r="G265" s="42" t="s">
        <v>468</v>
      </c>
      <c r="H265" s="42" t="s">
        <v>86</v>
      </c>
      <c r="I265" s="42" t="s">
        <v>775</v>
      </c>
      <c r="J265" s="42" t="s">
        <v>776</v>
      </c>
      <c r="K265" s="42" t="s">
        <v>224</v>
      </c>
      <c r="L265" s="42" t="s">
        <v>777</v>
      </c>
      <c r="M265" s="43">
        <v>46213.0</v>
      </c>
    </row>
    <row r="266" ht="15.75" customHeight="1">
      <c r="A266" s="42" t="s">
        <v>787</v>
      </c>
      <c r="B266" s="42" t="s">
        <v>788</v>
      </c>
      <c r="C266" s="42" t="s">
        <v>466</v>
      </c>
      <c r="D266" s="42" t="s">
        <v>37</v>
      </c>
      <c r="E266" s="42" t="s">
        <v>774</v>
      </c>
      <c r="F266" s="42">
        <v>80.0</v>
      </c>
      <c r="G266" s="42" t="s">
        <v>468</v>
      </c>
      <c r="H266" s="42" t="s">
        <v>86</v>
      </c>
      <c r="I266" s="42" t="s">
        <v>775</v>
      </c>
      <c r="J266" s="42" t="s">
        <v>776</v>
      </c>
      <c r="K266" s="42" t="s">
        <v>789</v>
      </c>
      <c r="L266" s="42" t="s">
        <v>777</v>
      </c>
      <c r="M266" s="43">
        <v>46213.0</v>
      </c>
    </row>
    <row r="267" ht="15.75" customHeight="1">
      <c r="A267" s="42" t="s">
        <v>787</v>
      </c>
      <c r="B267" s="42" t="s">
        <v>788</v>
      </c>
      <c r="C267" s="42" t="s">
        <v>472</v>
      </c>
      <c r="D267" s="42" t="s">
        <v>473</v>
      </c>
      <c r="E267" s="42" t="s">
        <v>778</v>
      </c>
      <c r="F267" s="42">
        <v>84.3</v>
      </c>
      <c r="G267" s="42" t="s">
        <v>468</v>
      </c>
      <c r="H267" s="42" t="s">
        <v>86</v>
      </c>
      <c r="I267" s="42" t="s">
        <v>775</v>
      </c>
      <c r="J267" s="42" t="s">
        <v>776</v>
      </c>
      <c r="K267" s="42" t="s">
        <v>789</v>
      </c>
      <c r="L267" s="42" t="s">
        <v>777</v>
      </c>
      <c r="M267" s="43">
        <v>46213.0</v>
      </c>
    </row>
    <row r="268" ht="15.75" customHeight="1">
      <c r="A268" s="42" t="s">
        <v>787</v>
      </c>
      <c r="B268" s="42" t="s">
        <v>788</v>
      </c>
      <c r="C268" s="42" t="s">
        <v>466</v>
      </c>
      <c r="D268" s="42" t="s">
        <v>41</v>
      </c>
      <c r="E268" s="42" t="s">
        <v>774</v>
      </c>
      <c r="F268" s="42">
        <v>95.0</v>
      </c>
      <c r="G268" s="42" t="s">
        <v>468</v>
      </c>
      <c r="H268" s="42" t="s">
        <v>86</v>
      </c>
      <c r="I268" s="42" t="s">
        <v>775</v>
      </c>
      <c r="J268" s="42" t="s">
        <v>776</v>
      </c>
      <c r="K268" s="42" t="s">
        <v>789</v>
      </c>
      <c r="L268" s="42" t="s">
        <v>777</v>
      </c>
      <c r="M268" s="43">
        <v>46213.0</v>
      </c>
    </row>
    <row r="269" ht="15.75" customHeight="1">
      <c r="A269" s="42" t="s">
        <v>787</v>
      </c>
      <c r="B269" s="42" t="s">
        <v>788</v>
      </c>
      <c r="C269" s="42" t="s">
        <v>477</v>
      </c>
      <c r="D269" s="42" t="s">
        <v>44</v>
      </c>
      <c r="E269" s="42" t="s">
        <v>774</v>
      </c>
      <c r="F269" s="42">
        <v>85.0</v>
      </c>
      <c r="G269" s="42" t="s">
        <v>468</v>
      </c>
      <c r="H269" s="42" t="s">
        <v>86</v>
      </c>
      <c r="I269" s="42" t="s">
        <v>775</v>
      </c>
      <c r="J269" s="42" t="s">
        <v>776</v>
      </c>
      <c r="K269" s="42" t="s">
        <v>789</v>
      </c>
      <c r="L269" s="42" t="s">
        <v>777</v>
      </c>
      <c r="M269" s="43">
        <v>46213.0</v>
      </c>
    </row>
    <row r="270" ht="15.75" customHeight="1">
      <c r="A270" s="42" t="s">
        <v>787</v>
      </c>
      <c r="B270" s="42" t="s">
        <v>790</v>
      </c>
      <c r="C270" s="42" t="s">
        <v>466</v>
      </c>
      <c r="D270" s="42" t="s">
        <v>37</v>
      </c>
      <c r="E270" s="42" t="s">
        <v>774</v>
      </c>
      <c r="F270" s="42">
        <v>69.2</v>
      </c>
      <c r="G270" s="42" t="s">
        <v>468</v>
      </c>
      <c r="H270" s="42" t="s">
        <v>86</v>
      </c>
      <c r="I270" s="42" t="s">
        <v>775</v>
      </c>
      <c r="J270" s="42" t="s">
        <v>776</v>
      </c>
      <c r="K270" s="42" t="s">
        <v>791</v>
      </c>
      <c r="L270" s="42" t="s">
        <v>777</v>
      </c>
      <c r="M270" s="43">
        <v>46213.0</v>
      </c>
    </row>
    <row r="271" ht="15.75" customHeight="1">
      <c r="A271" s="42" t="s">
        <v>787</v>
      </c>
      <c r="B271" s="42" t="s">
        <v>790</v>
      </c>
      <c r="C271" s="42" t="s">
        <v>472</v>
      </c>
      <c r="D271" s="42" t="s">
        <v>473</v>
      </c>
      <c r="E271" s="42" t="s">
        <v>778</v>
      </c>
      <c r="F271" s="42">
        <v>74.6</v>
      </c>
      <c r="G271" s="42" t="s">
        <v>468</v>
      </c>
      <c r="H271" s="42" t="s">
        <v>86</v>
      </c>
      <c r="I271" s="42" t="s">
        <v>775</v>
      </c>
      <c r="J271" s="42" t="s">
        <v>776</v>
      </c>
      <c r="K271" s="42" t="s">
        <v>791</v>
      </c>
      <c r="L271" s="42" t="s">
        <v>777</v>
      </c>
      <c r="M271" s="43">
        <v>46213.0</v>
      </c>
    </row>
    <row r="272" ht="15.75" customHeight="1">
      <c r="A272" s="42" t="s">
        <v>787</v>
      </c>
      <c r="B272" s="42" t="s">
        <v>790</v>
      </c>
      <c r="C272" s="42" t="s">
        <v>466</v>
      </c>
      <c r="D272" s="42" t="s">
        <v>41</v>
      </c>
      <c r="E272" s="42" t="s">
        <v>774</v>
      </c>
      <c r="F272" s="42">
        <v>88.6</v>
      </c>
      <c r="G272" s="42" t="s">
        <v>468</v>
      </c>
      <c r="H272" s="42" t="s">
        <v>86</v>
      </c>
      <c r="I272" s="42" t="s">
        <v>775</v>
      </c>
      <c r="J272" s="42" t="s">
        <v>776</v>
      </c>
      <c r="K272" s="42" t="s">
        <v>791</v>
      </c>
      <c r="L272" s="42" t="s">
        <v>777</v>
      </c>
      <c r="M272" s="43">
        <v>46213.0</v>
      </c>
    </row>
    <row r="273" ht="15.75" customHeight="1">
      <c r="A273" s="42" t="s">
        <v>787</v>
      </c>
      <c r="B273" s="42" t="s">
        <v>790</v>
      </c>
      <c r="C273" s="42" t="s">
        <v>477</v>
      </c>
      <c r="D273" s="42" t="s">
        <v>44</v>
      </c>
      <c r="E273" s="42" t="s">
        <v>774</v>
      </c>
      <c r="F273" s="42">
        <v>83.4</v>
      </c>
      <c r="G273" s="42" t="s">
        <v>468</v>
      </c>
      <c r="H273" s="42" t="s">
        <v>86</v>
      </c>
      <c r="I273" s="42" t="s">
        <v>775</v>
      </c>
      <c r="J273" s="42" t="s">
        <v>776</v>
      </c>
      <c r="K273" s="42" t="s">
        <v>791</v>
      </c>
      <c r="L273" s="42" t="s">
        <v>777</v>
      </c>
      <c r="M273" s="43">
        <v>46213.0</v>
      </c>
    </row>
    <row r="274" ht="15.75" customHeight="1">
      <c r="A274" s="42" t="s">
        <v>787</v>
      </c>
      <c r="B274" s="42" t="s">
        <v>790</v>
      </c>
      <c r="C274" s="42" t="s">
        <v>485</v>
      </c>
      <c r="D274" s="42" t="s">
        <v>45</v>
      </c>
      <c r="E274" s="42" t="s">
        <v>774</v>
      </c>
      <c r="F274" s="42">
        <v>93.6</v>
      </c>
      <c r="G274" s="42" t="s">
        <v>468</v>
      </c>
      <c r="H274" s="42" t="s">
        <v>86</v>
      </c>
      <c r="I274" s="42" t="s">
        <v>775</v>
      </c>
      <c r="J274" s="42" t="s">
        <v>776</v>
      </c>
      <c r="K274" s="42" t="s">
        <v>791</v>
      </c>
      <c r="L274" s="42" t="s">
        <v>777</v>
      </c>
      <c r="M274" s="43">
        <v>46213.0</v>
      </c>
    </row>
    <row r="275" ht="15.75" customHeight="1">
      <c r="A275" s="42" t="s">
        <v>787</v>
      </c>
      <c r="B275" s="42" t="s">
        <v>792</v>
      </c>
      <c r="C275" s="42" t="s">
        <v>466</v>
      </c>
      <c r="D275" s="42" t="s">
        <v>37</v>
      </c>
      <c r="E275" s="42" t="s">
        <v>774</v>
      </c>
      <c r="F275" s="42">
        <v>63.2</v>
      </c>
      <c r="G275" s="42" t="s">
        <v>468</v>
      </c>
      <c r="H275" s="42" t="s">
        <v>86</v>
      </c>
      <c r="I275" s="42" t="s">
        <v>775</v>
      </c>
      <c r="J275" s="42" t="s">
        <v>776</v>
      </c>
      <c r="K275" s="42" t="s">
        <v>793</v>
      </c>
      <c r="L275" s="42" t="s">
        <v>777</v>
      </c>
      <c r="M275" s="43">
        <v>46213.0</v>
      </c>
    </row>
    <row r="276" ht="15.75" customHeight="1">
      <c r="A276" s="42" t="s">
        <v>787</v>
      </c>
      <c r="B276" s="42" t="s">
        <v>792</v>
      </c>
      <c r="C276" s="42" t="s">
        <v>472</v>
      </c>
      <c r="D276" s="42" t="s">
        <v>473</v>
      </c>
      <c r="E276" s="42" t="s">
        <v>778</v>
      </c>
      <c r="F276" s="42">
        <v>80.4</v>
      </c>
      <c r="G276" s="42" t="s">
        <v>468</v>
      </c>
      <c r="H276" s="42" t="s">
        <v>86</v>
      </c>
      <c r="I276" s="42" t="s">
        <v>775</v>
      </c>
      <c r="J276" s="42" t="s">
        <v>776</v>
      </c>
      <c r="K276" s="42" t="s">
        <v>793</v>
      </c>
      <c r="L276" s="42" t="s">
        <v>777</v>
      </c>
      <c r="M276" s="43">
        <v>46213.0</v>
      </c>
    </row>
    <row r="277" ht="15.75" customHeight="1">
      <c r="A277" s="42" t="s">
        <v>787</v>
      </c>
      <c r="B277" s="42" t="s">
        <v>792</v>
      </c>
      <c r="C277" s="42" t="s">
        <v>477</v>
      </c>
      <c r="D277" s="42" t="s">
        <v>44</v>
      </c>
      <c r="E277" s="42" t="s">
        <v>774</v>
      </c>
      <c r="F277" s="42">
        <v>81.2</v>
      </c>
      <c r="G277" s="42" t="s">
        <v>468</v>
      </c>
      <c r="H277" s="42" t="s">
        <v>86</v>
      </c>
      <c r="I277" s="42" t="s">
        <v>775</v>
      </c>
      <c r="J277" s="42" t="s">
        <v>776</v>
      </c>
      <c r="K277" s="42" t="s">
        <v>793</v>
      </c>
      <c r="L277" s="42" t="s">
        <v>777</v>
      </c>
      <c r="M277" s="43">
        <v>46213.0</v>
      </c>
    </row>
    <row r="278" ht="15.75" customHeight="1">
      <c r="A278" s="42" t="s">
        <v>787</v>
      </c>
      <c r="B278" s="42" t="s">
        <v>794</v>
      </c>
      <c r="C278" s="42" t="s">
        <v>466</v>
      </c>
      <c r="D278" s="42" t="s">
        <v>41</v>
      </c>
      <c r="E278" s="42" t="s">
        <v>774</v>
      </c>
      <c r="F278" s="42">
        <v>73.3</v>
      </c>
      <c r="G278" s="42" t="s">
        <v>468</v>
      </c>
      <c r="H278" s="42" t="s">
        <v>86</v>
      </c>
      <c r="I278" s="42" t="s">
        <v>775</v>
      </c>
      <c r="J278" s="42" t="s">
        <v>776</v>
      </c>
      <c r="K278" s="42" t="s">
        <v>795</v>
      </c>
      <c r="L278" s="42" t="s">
        <v>777</v>
      </c>
      <c r="M278" s="43">
        <v>46213.0</v>
      </c>
    </row>
    <row r="279" ht="15.75" customHeight="1">
      <c r="A279" s="42" t="s">
        <v>232</v>
      </c>
      <c r="B279" s="42" t="s">
        <v>234</v>
      </c>
      <c r="C279" s="42" t="s">
        <v>466</v>
      </c>
      <c r="D279" s="42" t="s">
        <v>37</v>
      </c>
      <c r="E279" s="42" t="s">
        <v>774</v>
      </c>
      <c r="F279" s="42">
        <v>64.7</v>
      </c>
      <c r="G279" s="42" t="s">
        <v>468</v>
      </c>
      <c r="H279" s="42" t="s">
        <v>86</v>
      </c>
      <c r="I279" s="42" t="s">
        <v>775</v>
      </c>
      <c r="J279" s="42" t="s">
        <v>776</v>
      </c>
      <c r="K279" s="42" t="s">
        <v>245</v>
      </c>
      <c r="L279" s="42" t="s">
        <v>777</v>
      </c>
      <c r="M279" s="43">
        <v>46213.0</v>
      </c>
    </row>
    <row r="280" ht="15.75" customHeight="1">
      <c r="A280" s="42" t="s">
        <v>232</v>
      </c>
      <c r="B280" s="42" t="s">
        <v>234</v>
      </c>
      <c r="C280" s="42" t="s">
        <v>472</v>
      </c>
      <c r="D280" s="42" t="s">
        <v>473</v>
      </c>
      <c r="E280" s="42" t="s">
        <v>778</v>
      </c>
      <c r="F280" s="42">
        <v>83.3</v>
      </c>
      <c r="G280" s="42" t="s">
        <v>468</v>
      </c>
      <c r="H280" s="42" t="s">
        <v>86</v>
      </c>
      <c r="I280" s="42" t="s">
        <v>775</v>
      </c>
      <c r="J280" s="42" t="s">
        <v>776</v>
      </c>
      <c r="K280" s="42" t="s">
        <v>245</v>
      </c>
      <c r="L280" s="42" t="s">
        <v>777</v>
      </c>
      <c r="M280" s="43">
        <v>46213.0</v>
      </c>
    </row>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M1"/>
    <mergeCell ref="A2:M2"/>
  </mergeCells>
  <printOptions/>
  <pageMargins bottom="0.75" footer="0.0" header="0.0" left="0.7" right="0.7" top="0.75"/>
  <pageSetup orientation="landscape"/>
  <drawing r:id="rId1"/>
  <tableParts count="1">
    <tablePart r:id="rId3"/>
  </tableParts>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0.1" defaultRowHeight="15.0"/>
  <cols>
    <col customWidth="1" min="1" max="1" width="12.0"/>
    <col customWidth="1" min="2" max="2" width="22.4"/>
    <col customWidth="1" min="3" max="3" width="25.6"/>
    <col customWidth="1" min="4" max="4" width="20.8"/>
    <col customWidth="1" min="5" max="21" width="12.0"/>
    <col customWidth="1" min="22" max="22" width="36.0"/>
    <col customWidth="1" min="23" max="26" width="6.9"/>
  </cols>
  <sheetData>
    <row r="1" ht="27.75" customHeight="1">
      <c r="A1" s="1" t="s">
        <v>796</v>
      </c>
      <c r="R1" s="1"/>
      <c r="S1" s="1"/>
      <c r="T1" s="1"/>
      <c r="U1" s="1"/>
      <c r="V1" s="1"/>
    </row>
    <row r="2" ht="39.75" customHeight="1">
      <c r="A2" s="2" t="s">
        <v>797</v>
      </c>
      <c r="R2" s="3"/>
      <c r="S2" s="3"/>
      <c r="T2" s="3"/>
      <c r="U2" s="3"/>
      <c r="V2" s="3"/>
    </row>
    <row r="3">
      <c r="A3" s="4"/>
      <c r="B3" s="4"/>
      <c r="C3" s="4"/>
      <c r="D3" s="4"/>
      <c r="E3" s="4"/>
      <c r="F3" s="4"/>
      <c r="G3" s="4"/>
      <c r="H3" s="4"/>
      <c r="I3" s="4"/>
      <c r="J3" s="4"/>
      <c r="K3" s="4"/>
      <c r="L3" s="4"/>
      <c r="M3" s="4"/>
      <c r="N3" s="4"/>
      <c r="O3" s="4"/>
      <c r="P3" s="4"/>
      <c r="Q3" s="4"/>
    </row>
    <row r="4" ht="37.5" customHeight="1">
      <c r="A4" s="5" t="s">
        <v>2</v>
      </c>
      <c r="B4" s="5" t="s">
        <v>798</v>
      </c>
      <c r="C4" s="5" t="s">
        <v>799</v>
      </c>
      <c r="D4" s="5" t="s">
        <v>800</v>
      </c>
      <c r="E4" s="5" t="s">
        <v>801</v>
      </c>
      <c r="F4" s="5" t="s">
        <v>802</v>
      </c>
      <c r="G4" s="5" t="s">
        <v>73</v>
      </c>
      <c r="H4" s="31"/>
      <c r="I4" s="31"/>
      <c r="J4" s="31"/>
      <c r="K4" s="31"/>
      <c r="L4" s="31"/>
      <c r="M4" s="31"/>
      <c r="N4" s="31"/>
      <c r="O4" s="31"/>
      <c r="P4" s="31"/>
      <c r="Q4" s="31"/>
    </row>
    <row r="5">
      <c r="A5" s="34" t="s">
        <v>78</v>
      </c>
      <c r="B5" s="34" t="s">
        <v>803</v>
      </c>
      <c r="C5" s="35" t="s">
        <v>804</v>
      </c>
      <c r="D5" s="35" t="s">
        <v>805</v>
      </c>
      <c r="E5" s="35">
        <v>6.0</v>
      </c>
      <c r="F5" s="35" t="s">
        <v>94</v>
      </c>
      <c r="G5" s="38">
        <v>46215.0</v>
      </c>
      <c r="H5" s="35"/>
      <c r="I5" s="35"/>
      <c r="J5" s="35"/>
      <c r="K5" s="34"/>
      <c r="L5" s="34"/>
      <c r="M5" s="34"/>
      <c r="N5" s="34"/>
      <c r="O5" s="34"/>
      <c r="P5" s="44"/>
      <c r="Q5" s="34"/>
    </row>
    <row r="6">
      <c r="A6" s="34" t="s">
        <v>113</v>
      </c>
      <c r="B6" s="34" t="s">
        <v>114</v>
      </c>
      <c r="C6" s="35" t="s">
        <v>806</v>
      </c>
      <c r="D6" s="35" t="s">
        <v>807</v>
      </c>
      <c r="E6" s="35">
        <v>13.0</v>
      </c>
      <c r="F6" s="35" t="s">
        <v>127</v>
      </c>
      <c r="G6" s="38">
        <v>46215.0</v>
      </c>
      <c r="H6" s="35"/>
      <c r="I6" s="35"/>
      <c r="J6" s="35"/>
      <c r="K6" s="34"/>
      <c r="L6" s="34"/>
      <c r="M6" s="34"/>
      <c r="N6" s="34"/>
      <c r="O6" s="34"/>
      <c r="P6" s="44"/>
      <c r="Q6" s="34"/>
    </row>
    <row r="7">
      <c r="A7" s="34" t="s">
        <v>787</v>
      </c>
      <c r="B7" s="34" t="s">
        <v>808</v>
      </c>
      <c r="C7" s="35" t="s">
        <v>809</v>
      </c>
      <c r="D7" s="35" t="s">
        <v>810</v>
      </c>
      <c r="E7" s="35">
        <v>4.0</v>
      </c>
      <c r="F7" s="35" t="s">
        <v>811</v>
      </c>
      <c r="G7" s="38">
        <v>46215.0</v>
      </c>
      <c r="H7" s="35"/>
      <c r="I7" s="35"/>
      <c r="J7" s="35"/>
      <c r="K7" s="34"/>
      <c r="L7" s="34"/>
      <c r="M7" s="34"/>
      <c r="N7" s="34"/>
      <c r="O7" s="34"/>
      <c r="P7" s="44"/>
      <c r="Q7" s="34"/>
    </row>
    <row r="8">
      <c r="A8" s="34" t="s">
        <v>232</v>
      </c>
      <c r="B8" s="34" t="s">
        <v>233</v>
      </c>
      <c r="C8" s="35" t="s">
        <v>809</v>
      </c>
      <c r="D8" s="35" t="s">
        <v>812</v>
      </c>
      <c r="E8" s="35">
        <v>6.0</v>
      </c>
      <c r="F8" s="35" t="s">
        <v>244</v>
      </c>
      <c r="G8" s="38">
        <v>46215.0</v>
      </c>
      <c r="H8" s="35"/>
      <c r="I8" s="35"/>
      <c r="J8" s="35"/>
      <c r="K8" s="34"/>
      <c r="L8" s="34"/>
      <c r="M8" s="34"/>
      <c r="N8" s="34"/>
      <c r="O8" s="34"/>
      <c r="P8" s="44"/>
      <c r="Q8" s="34"/>
    </row>
    <row r="9">
      <c r="A9" s="34" t="s">
        <v>246</v>
      </c>
      <c r="B9" s="34" t="s">
        <v>247</v>
      </c>
      <c r="C9" s="35" t="s">
        <v>813</v>
      </c>
      <c r="D9" s="35" t="s">
        <v>814</v>
      </c>
      <c r="E9" s="35">
        <v>8.0</v>
      </c>
      <c r="F9" s="35" t="s">
        <v>262</v>
      </c>
      <c r="G9" s="38">
        <v>46215.0</v>
      </c>
      <c r="H9" s="35"/>
      <c r="I9" s="35"/>
      <c r="J9" s="35"/>
      <c r="K9" s="34"/>
      <c r="L9" s="34"/>
      <c r="M9" s="34"/>
      <c r="N9" s="34"/>
      <c r="O9" s="34"/>
      <c r="P9" s="44"/>
      <c r="Q9" s="34"/>
    </row>
    <row r="10">
      <c r="A10" s="34" t="s">
        <v>555</v>
      </c>
      <c r="B10" s="34" t="s">
        <v>815</v>
      </c>
      <c r="C10" s="35" t="s">
        <v>809</v>
      </c>
      <c r="D10" s="35" t="s">
        <v>816</v>
      </c>
      <c r="E10" s="35">
        <v>8.0</v>
      </c>
      <c r="F10" s="35" t="s">
        <v>817</v>
      </c>
      <c r="G10" s="38">
        <v>46215.0</v>
      </c>
      <c r="H10" s="35"/>
      <c r="I10" s="35"/>
      <c r="J10" s="35"/>
      <c r="K10" s="34"/>
      <c r="L10" s="34"/>
      <c r="M10" s="34"/>
      <c r="N10" s="34"/>
      <c r="O10" s="34"/>
      <c r="P10" s="44"/>
      <c r="Q10" s="34"/>
    </row>
    <row r="11">
      <c r="A11" s="34" t="s">
        <v>283</v>
      </c>
      <c r="B11" s="34" t="s">
        <v>818</v>
      </c>
      <c r="C11" s="35" t="s">
        <v>819</v>
      </c>
      <c r="D11" s="35" t="s">
        <v>820</v>
      </c>
      <c r="E11" s="35">
        <v>4.0</v>
      </c>
      <c r="F11" s="35" t="s">
        <v>821</v>
      </c>
      <c r="G11" s="38">
        <v>46215.0</v>
      </c>
      <c r="H11" s="35"/>
      <c r="I11" s="35"/>
      <c r="J11" s="35"/>
      <c r="K11" s="34"/>
      <c r="L11" s="34"/>
      <c r="M11" s="34"/>
      <c r="N11" s="34"/>
      <c r="O11" s="34"/>
      <c r="P11" s="44"/>
      <c r="Q11" s="34"/>
    </row>
    <row r="12">
      <c r="A12" s="34" t="s">
        <v>690</v>
      </c>
      <c r="B12" s="34" t="s">
        <v>822</v>
      </c>
      <c r="C12" s="35" t="s">
        <v>823</v>
      </c>
      <c r="D12" s="35" t="s">
        <v>824</v>
      </c>
      <c r="E12" s="35">
        <v>1.0</v>
      </c>
      <c r="F12" s="35" t="s">
        <v>352</v>
      </c>
      <c r="G12" s="38">
        <v>46215.0</v>
      </c>
      <c r="H12" s="35"/>
      <c r="I12" s="35"/>
      <c r="J12" s="35"/>
      <c r="K12" s="34"/>
      <c r="L12" s="34"/>
      <c r="M12" s="34"/>
      <c r="N12" s="34"/>
      <c r="O12" s="34"/>
      <c r="P12" s="44"/>
      <c r="Q12" s="34"/>
    </row>
    <row r="13">
      <c r="A13" s="45" t="s">
        <v>714</v>
      </c>
      <c r="B13" s="45" t="s">
        <v>825</v>
      </c>
      <c r="C13" s="46" t="s">
        <v>826</v>
      </c>
      <c r="D13" s="46" t="s">
        <v>827</v>
      </c>
      <c r="E13" s="46">
        <v>1.0</v>
      </c>
      <c r="F13" s="46" t="s">
        <v>369</v>
      </c>
      <c r="G13" s="47">
        <v>46215.0</v>
      </c>
      <c r="H13" s="48"/>
      <c r="I13" s="48"/>
      <c r="J13" s="48"/>
      <c r="K13" s="39"/>
      <c r="L13" s="39"/>
      <c r="M13" s="39"/>
      <c r="N13" s="39"/>
      <c r="O13" s="39"/>
      <c r="P13" s="49"/>
      <c r="Q13" s="39"/>
    </row>
    <row r="14">
      <c r="A14" s="39"/>
      <c r="B14" s="39"/>
      <c r="C14" s="48"/>
      <c r="D14" s="48"/>
      <c r="E14" s="48"/>
      <c r="F14" s="48"/>
      <c r="G14" s="48"/>
      <c r="H14" s="48"/>
      <c r="I14" s="48"/>
      <c r="J14" s="48"/>
      <c r="K14" s="39"/>
      <c r="L14" s="39"/>
      <c r="M14" s="39"/>
      <c r="N14" s="39"/>
      <c r="O14" s="39"/>
      <c r="P14" s="49"/>
      <c r="Q14" s="39"/>
    </row>
    <row r="15">
      <c r="A15" s="39"/>
      <c r="B15" s="39"/>
      <c r="C15" s="48"/>
      <c r="D15" s="48"/>
      <c r="E15" s="48"/>
      <c r="F15" s="48"/>
      <c r="G15" s="48"/>
      <c r="H15" s="48"/>
      <c r="I15" s="48"/>
      <c r="J15" s="48"/>
      <c r="K15" s="39"/>
      <c r="L15" s="39"/>
      <c r="M15" s="39"/>
      <c r="N15" s="39"/>
      <c r="O15" s="39"/>
      <c r="P15" s="49"/>
      <c r="Q15" s="39"/>
    </row>
    <row r="16">
      <c r="A16" s="39"/>
      <c r="B16" s="39"/>
      <c r="C16" s="48"/>
      <c r="D16" s="48"/>
      <c r="E16" s="48"/>
      <c r="F16" s="48"/>
      <c r="G16" s="48"/>
      <c r="H16" s="48"/>
      <c r="I16" s="48"/>
      <c r="J16" s="48"/>
      <c r="K16" s="39"/>
      <c r="L16" s="39"/>
      <c r="M16" s="39"/>
      <c r="N16" s="39"/>
      <c r="O16" s="39"/>
      <c r="P16" s="49"/>
      <c r="Q16" s="39"/>
    </row>
    <row r="17">
      <c r="A17" s="50" t="s">
        <v>2</v>
      </c>
      <c r="B17" s="50" t="s">
        <v>828</v>
      </c>
      <c r="C17" s="51" t="s">
        <v>4</v>
      </c>
      <c r="D17" s="51" t="s">
        <v>8</v>
      </c>
      <c r="E17" s="51" t="s">
        <v>20</v>
      </c>
      <c r="F17" s="51" t="s">
        <v>829</v>
      </c>
      <c r="G17" s="51" t="s">
        <v>830</v>
      </c>
      <c r="H17" s="51" t="s">
        <v>831</v>
      </c>
      <c r="I17" s="51" t="s">
        <v>832</v>
      </c>
      <c r="J17" s="51" t="s">
        <v>833</v>
      </c>
      <c r="K17" s="50" t="s">
        <v>27</v>
      </c>
      <c r="L17" s="50" t="s">
        <v>28</v>
      </c>
      <c r="M17" s="50" t="s">
        <v>29</v>
      </c>
      <c r="N17" s="50" t="s">
        <v>30</v>
      </c>
      <c r="O17" s="50" t="s">
        <v>386</v>
      </c>
      <c r="P17" s="52" t="s">
        <v>834</v>
      </c>
      <c r="Q17" s="50" t="s">
        <v>835</v>
      </c>
      <c r="R17" s="6" t="s">
        <v>387</v>
      </c>
      <c r="S17" s="6" t="s">
        <v>836</v>
      </c>
      <c r="T17" s="6" t="s">
        <v>837</v>
      </c>
      <c r="U17" s="6" t="s">
        <v>838</v>
      </c>
      <c r="V17" s="6" t="s">
        <v>71</v>
      </c>
    </row>
    <row r="18" ht="27.75" customHeight="1">
      <c r="A18" s="45" t="s">
        <v>78</v>
      </c>
      <c r="B18" s="45" t="s">
        <v>79</v>
      </c>
      <c r="C18" s="46" t="s">
        <v>80</v>
      </c>
      <c r="D18" s="46" t="s">
        <v>83</v>
      </c>
      <c r="E18" s="53">
        <v>20.0</v>
      </c>
      <c r="F18" s="53"/>
      <c r="G18" s="54">
        <v>15.0</v>
      </c>
      <c r="H18" s="54">
        <v>90.0</v>
      </c>
      <c r="I18" s="54"/>
      <c r="J18" s="54"/>
      <c r="K18" s="55">
        <v>5.0</v>
      </c>
      <c r="L18" s="55">
        <v>0.5</v>
      </c>
      <c r="M18" s="55">
        <v>6.25</v>
      </c>
      <c r="N18" s="55">
        <v>30.0</v>
      </c>
      <c r="O18" s="55">
        <v>10.0</v>
      </c>
      <c r="P18" s="55">
        <v>1.0</v>
      </c>
      <c r="Q18" s="55">
        <v>12.5</v>
      </c>
      <c r="R18" s="56">
        <v>45.0</v>
      </c>
      <c r="S18" s="56">
        <v>0.22</v>
      </c>
      <c r="T18" s="42" t="s">
        <v>86</v>
      </c>
      <c r="U18" s="42" t="s">
        <v>86</v>
      </c>
      <c r="V18" s="42" t="s">
        <v>94</v>
      </c>
    </row>
    <row r="19" ht="27.75" customHeight="1">
      <c r="A19" s="45" t="s">
        <v>78</v>
      </c>
      <c r="B19" s="45" t="s">
        <v>79</v>
      </c>
      <c r="C19" s="46" t="s">
        <v>98</v>
      </c>
      <c r="D19" s="46" t="s">
        <v>100</v>
      </c>
      <c r="E19" s="53">
        <v>20.0</v>
      </c>
      <c r="F19" s="53"/>
      <c r="G19" s="54">
        <v>20.0</v>
      </c>
      <c r="H19" s="54">
        <v>110.0</v>
      </c>
      <c r="I19" s="54"/>
      <c r="J19" s="54"/>
      <c r="K19" s="55">
        <v>2.5</v>
      </c>
      <c r="L19" s="55">
        <v>0.25</v>
      </c>
      <c r="M19" s="55">
        <v>3.125</v>
      </c>
      <c r="N19" s="55">
        <v>15.0</v>
      </c>
      <c r="O19" s="55">
        <v>5.0</v>
      </c>
      <c r="P19" s="55">
        <v>0.5</v>
      </c>
      <c r="Q19" s="55">
        <v>6.25</v>
      </c>
      <c r="R19" s="56">
        <v>22.5</v>
      </c>
      <c r="S19" s="56">
        <v>0.11</v>
      </c>
      <c r="T19" s="42" t="s">
        <v>86</v>
      </c>
      <c r="U19" s="42" t="s">
        <v>86</v>
      </c>
      <c r="V19" s="42" t="s">
        <v>94</v>
      </c>
    </row>
    <row r="20" ht="27.75" customHeight="1">
      <c r="A20" s="45" t="s">
        <v>78</v>
      </c>
      <c r="B20" s="45" t="s">
        <v>79</v>
      </c>
      <c r="C20" s="46" t="s">
        <v>105</v>
      </c>
      <c r="D20" s="46" t="s">
        <v>107</v>
      </c>
      <c r="E20" s="53">
        <v>20.0</v>
      </c>
      <c r="F20" s="53"/>
      <c r="G20" s="54">
        <v>50.0</v>
      </c>
      <c r="H20" s="54">
        <v>280.0</v>
      </c>
      <c r="I20" s="54"/>
      <c r="J20" s="54"/>
      <c r="K20" s="55">
        <v>1.0</v>
      </c>
      <c r="L20" s="55">
        <v>0.1</v>
      </c>
      <c r="M20" s="55">
        <v>1.25</v>
      </c>
      <c r="N20" s="55">
        <v>6.0</v>
      </c>
      <c r="O20" s="55">
        <v>2.0</v>
      </c>
      <c r="P20" s="55">
        <v>0.2</v>
      </c>
      <c r="Q20" s="55">
        <v>2.5</v>
      </c>
      <c r="R20" s="56">
        <v>9.0</v>
      </c>
      <c r="S20" s="56">
        <v>0.044</v>
      </c>
      <c r="T20" s="42" t="s">
        <v>86</v>
      </c>
      <c r="U20" s="42" t="s">
        <v>86</v>
      </c>
      <c r="V20" s="42" t="s">
        <v>94</v>
      </c>
    </row>
    <row r="21" ht="27.75" customHeight="1">
      <c r="A21" s="45" t="s">
        <v>78</v>
      </c>
      <c r="B21" s="45" t="s">
        <v>79</v>
      </c>
      <c r="C21" s="46" t="s">
        <v>781</v>
      </c>
      <c r="D21" s="46" t="s">
        <v>131</v>
      </c>
      <c r="E21" s="53">
        <v>20.0</v>
      </c>
      <c r="F21" s="53"/>
      <c r="G21" s="54">
        <v>15.0</v>
      </c>
      <c r="H21" s="54">
        <v>80.0</v>
      </c>
      <c r="I21" s="54"/>
      <c r="J21" s="54"/>
      <c r="K21" s="55">
        <v>5.0</v>
      </c>
      <c r="L21" s="55">
        <v>0.5</v>
      </c>
      <c r="M21" s="55"/>
      <c r="N21" s="55">
        <v>30.0</v>
      </c>
      <c r="O21" s="55">
        <v>10.0</v>
      </c>
      <c r="P21" s="55">
        <v>1.0</v>
      </c>
      <c r="Q21" s="55"/>
      <c r="R21" s="56">
        <v>45.0</v>
      </c>
      <c r="S21" s="56">
        <v>0.22</v>
      </c>
      <c r="T21" s="42" t="s">
        <v>86</v>
      </c>
      <c r="U21" s="42" t="s">
        <v>86</v>
      </c>
      <c r="V21" s="42" t="s">
        <v>94</v>
      </c>
    </row>
    <row r="22" ht="27.75" customHeight="1">
      <c r="A22" s="45" t="s">
        <v>78</v>
      </c>
      <c r="B22" s="45" t="s">
        <v>79</v>
      </c>
      <c r="C22" s="46" t="s">
        <v>783</v>
      </c>
      <c r="D22" s="46" t="s">
        <v>131</v>
      </c>
      <c r="E22" s="53">
        <v>20.0</v>
      </c>
      <c r="F22" s="53"/>
      <c r="G22" s="54">
        <v>20.0</v>
      </c>
      <c r="H22" s="54">
        <v>100.0</v>
      </c>
      <c r="I22" s="54"/>
      <c r="J22" s="54"/>
      <c r="K22" s="55">
        <v>2.5</v>
      </c>
      <c r="L22" s="55">
        <v>0.25</v>
      </c>
      <c r="M22" s="55"/>
      <c r="N22" s="55">
        <v>15.0</v>
      </c>
      <c r="O22" s="55">
        <v>5.0</v>
      </c>
      <c r="P22" s="55">
        <v>0.5</v>
      </c>
      <c r="Q22" s="55"/>
      <c r="R22" s="56">
        <v>22.5</v>
      </c>
      <c r="S22" s="56">
        <v>0.11</v>
      </c>
      <c r="T22" s="42" t="s">
        <v>86</v>
      </c>
      <c r="U22" s="42" t="s">
        <v>86</v>
      </c>
      <c r="V22" s="42" t="s">
        <v>94</v>
      </c>
    </row>
    <row r="23" ht="27.75" customHeight="1">
      <c r="A23" s="45" t="s">
        <v>78</v>
      </c>
      <c r="B23" s="45" t="s">
        <v>79</v>
      </c>
      <c r="C23" s="46" t="s">
        <v>785</v>
      </c>
      <c r="D23" s="46" t="s">
        <v>131</v>
      </c>
      <c r="E23" s="53">
        <v>20.0</v>
      </c>
      <c r="F23" s="53"/>
      <c r="G23" s="54">
        <v>60.0</v>
      </c>
      <c r="H23" s="54">
        <v>350.0</v>
      </c>
      <c r="I23" s="54"/>
      <c r="J23" s="54"/>
      <c r="K23" s="55">
        <v>0.75</v>
      </c>
      <c r="L23" s="55">
        <v>0.075</v>
      </c>
      <c r="M23" s="55"/>
      <c r="N23" s="55">
        <v>4.5</v>
      </c>
      <c r="O23" s="55"/>
      <c r="P23" s="55"/>
      <c r="Q23" s="55"/>
      <c r="R23" s="56"/>
      <c r="S23" s="56">
        <v>0.033</v>
      </c>
      <c r="T23" s="42" t="s">
        <v>86</v>
      </c>
      <c r="U23" s="42" t="s">
        <v>86</v>
      </c>
      <c r="V23" s="42" t="s">
        <v>94</v>
      </c>
    </row>
    <row r="24" ht="27.75" customHeight="1">
      <c r="A24" s="45" t="s">
        <v>113</v>
      </c>
      <c r="B24" s="45" t="s">
        <v>114</v>
      </c>
      <c r="C24" s="46" t="s">
        <v>115</v>
      </c>
      <c r="D24" s="46" t="s">
        <v>118</v>
      </c>
      <c r="E24" s="53">
        <v>10.0</v>
      </c>
      <c r="F24" s="53">
        <v>5.0</v>
      </c>
      <c r="G24" s="54">
        <v>880.0</v>
      </c>
      <c r="H24" s="54">
        <v>880.0</v>
      </c>
      <c r="I24" s="54">
        <v>2150.0</v>
      </c>
      <c r="J24" s="54">
        <v>4300.0</v>
      </c>
      <c r="K24" s="55">
        <v>1.4</v>
      </c>
      <c r="L24" s="55">
        <v>0.26</v>
      </c>
      <c r="M24" s="55"/>
      <c r="N24" s="55">
        <v>4.4</v>
      </c>
      <c r="O24" s="55"/>
      <c r="P24" s="55"/>
      <c r="Q24" s="55"/>
      <c r="R24" s="56"/>
      <c r="S24" s="56">
        <v>0.013636363636363636</v>
      </c>
      <c r="T24" s="42" t="s">
        <v>86</v>
      </c>
      <c r="U24" s="42" t="s">
        <v>86</v>
      </c>
      <c r="V24" s="42" t="s">
        <v>127</v>
      </c>
    </row>
    <row r="25" ht="27.75" customHeight="1">
      <c r="A25" s="45" t="s">
        <v>113</v>
      </c>
      <c r="B25" s="45" t="s">
        <v>114</v>
      </c>
      <c r="C25" s="46" t="s">
        <v>129</v>
      </c>
      <c r="D25" s="46" t="s">
        <v>131</v>
      </c>
      <c r="E25" s="53">
        <v>10.0</v>
      </c>
      <c r="F25" s="53">
        <v>5.0</v>
      </c>
      <c r="G25" s="54">
        <v>880.0</v>
      </c>
      <c r="H25" s="54">
        <v>880.0</v>
      </c>
      <c r="I25" s="54">
        <v>2150.0</v>
      </c>
      <c r="J25" s="54">
        <v>4300.0</v>
      </c>
      <c r="K25" s="55">
        <v>1.4</v>
      </c>
      <c r="L25" s="55">
        <v>0.26</v>
      </c>
      <c r="M25" s="55"/>
      <c r="N25" s="55">
        <v>4.4</v>
      </c>
      <c r="O25" s="55"/>
      <c r="P25" s="55"/>
      <c r="Q25" s="55"/>
      <c r="R25" s="56"/>
      <c r="S25" s="56">
        <v>0.013636363636363636</v>
      </c>
      <c r="T25" s="42" t="s">
        <v>86</v>
      </c>
      <c r="U25" s="42" t="s">
        <v>86</v>
      </c>
      <c r="V25" s="42" t="s">
        <v>127</v>
      </c>
    </row>
    <row r="26" ht="27.75" customHeight="1">
      <c r="A26" s="45" t="s">
        <v>113</v>
      </c>
      <c r="B26" s="45" t="s">
        <v>114</v>
      </c>
      <c r="C26" s="46" t="s">
        <v>135</v>
      </c>
      <c r="D26" s="46" t="s">
        <v>139</v>
      </c>
      <c r="E26" s="53">
        <v>10.0</v>
      </c>
      <c r="F26" s="53">
        <v>5.0</v>
      </c>
      <c r="G26" s="54">
        <v>1350.0</v>
      </c>
      <c r="H26" s="54">
        <v>1350.0</v>
      </c>
      <c r="I26" s="54">
        <v>4630.0</v>
      </c>
      <c r="J26" s="54">
        <v>9250.0</v>
      </c>
      <c r="K26" s="55">
        <v>0.95</v>
      </c>
      <c r="L26" s="55">
        <v>0.19</v>
      </c>
      <c r="M26" s="55"/>
      <c r="N26" s="55">
        <v>4.0</v>
      </c>
      <c r="O26" s="55"/>
      <c r="P26" s="55"/>
      <c r="Q26" s="55"/>
      <c r="R26" s="56"/>
      <c r="S26" s="56">
        <v>0.008888888888888889</v>
      </c>
      <c r="T26" s="42" t="s">
        <v>86</v>
      </c>
      <c r="U26" s="42" t="s">
        <v>86</v>
      </c>
      <c r="V26" s="42" t="s">
        <v>127</v>
      </c>
    </row>
    <row r="27" ht="27.75" customHeight="1">
      <c r="A27" s="42" t="s">
        <v>113</v>
      </c>
      <c r="B27" s="42" t="s">
        <v>114</v>
      </c>
      <c r="C27" s="42" t="s">
        <v>147</v>
      </c>
      <c r="D27" s="42" t="s">
        <v>118</v>
      </c>
      <c r="E27" s="57">
        <v>10.0</v>
      </c>
      <c r="F27" s="57">
        <v>5.0</v>
      </c>
      <c r="G27" s="58">
        <v>1150.0</v>
      </c>
      <c r="H27" s="58">
        <v>1150.0</v>
      </c>
      <c r="I27" s="58">
        <v>2880.0</v>
      </c>
      <c r="J27" s="58">
        <v>5750.0</v>
      </c>
      <c r="K27" s="56">
        <v>0.95</v>
      </c>
      <c r="L27" s="56">
        <v>0.16</v>
      </c>
      <c r="M27" s="56"/>
      <c r="N27" s="56">
        <v>4.0</v>
      </c>
      <c r="O27" s="56"/>
      <c r="P27" s="56"/>
      <c r="Q27" s="56"/>
      <c r="R27" s="56"/>
      <c r="S27" s="56">
        <v>0.010434782608695653</v>
      </c>
      <c r="T27" s="42" t="s">
        <v>86</v>
      </c>
      <c r="U27" s="42" t="s">
        <v>86</v>
      </c>
      <c r="V27" s="42" t="s">
        <v>127</v>
      </c>
    </row>
    <row r="28" ht="27.75" customHeight="1">
      <c r="A28" s="42" t="s">
        <v>113</v>
      </c>
      <c r="B28" s="42" t="s">
        <v>114</v>
      </c>
      <c r="C28" s="42" t="s">
        <v>156</v>
      </c>
      <c r="D28" s="42" t="s">
        <v>107</v>
      </c>
      <c r="E28" s="57">
        <v>10.0</v>
      </c>
      <c r="F28" s="57">
        <v>5.0</v>
      </c>
      <c r="G28" s="58">
        <v>30100.0</v>
      </c>
      <c r="H28" s="58">
        <v>30100.0</v>
      </c>
      <c r="I28" s="58">
        <v>75200.0</v>
      </c>
      <c r="J28" s="58">
        <v>150400.0</v>
      </c>
      <c r="K28" s="56">
        <v>0.14</v>
      </c>
      <c r="L28" s="56">
        <v>0.0028</v>
      </c>
      <c r="M28" s="56"/>
      <c r="N28" s="56">
        <v>0.28</v>
      </c>
      <c r="O28" s="56"/>
      <c r="P28" s="56"/>
      <c r="Q28" s="56"/>
      <c r="R28" s="56"/>
      <c r="S28" s="56">
        <v>3.9867109634551497E-4</v>
      </c>
      <c r="T28" s="42" t="s">
        <v>86</v>
      </c>
      <c r="U28" s="42" t="s">
        <v>86</v>
      </c>
      <c r="V28" s="42" t="s">
        <v>127</v>
      </c>
    </row>
    <row r="29" ht="27.75" customHeight="1">
      <c r="A29" s="42" t="s">
        <v>113</v>
      </c>
      <c r="B29" s="42" t="s">
        <v>114</v>
      </c>
      <c r="C29" s="42" t="s">
        <v>167</v>
      </c>
      <c r="D29" s="42" t="s">
        <v>118</v>
      </c>
      <c r="E29" s="57">
        <v>10.0</v>
      </c>
      <c r="F29" s="57">
        <v>5.0</v>
      </c>
      <c r="G29" s="58">
        <v>3250.0</v>
      </c>
      <c r="H29" s="58">
        <v>3250.0</v>
      </c>
      <c r="I29" s="58">
        <v>8150.0</v>
      </c>
      <c r="J29" s="58">
        <v>16300.0</v>
      </c>
      <c r="K29" s="56">
        <v>1.74</v>
      </c>
      <c r="L29" s="56">
        <v>0.0145</v>
      </c>
      <c r="M29" s="56"/>
      <c r="N29" s="56">
        <v>3.48</v>
      </c>
      <c r="O29" s="56"/>
      <c r="P29" s="56"/>
      <c r="Q29" s="56"/>
      <c r="R29" s="56"/>
      <c r="S29" s="56">
        <v>0.0036923076923076922</v>
      </c>
      <c r="T29" s="42" t="s">
        <v>86</v>
      </c>
      <c r="U29" s="42" t="s">
        <v>86</v>
      </c>
      <c r="V29" s="42" t="s">
        <v>127</v>
      </c>
    </row>
    <row r="30" ht="27.75" customHeight="1">
      <c r="A30" s="42" t="s">
        <v>113</v>
      </c>
      <c r="B30" s="42" t="s">
        <v>114</v>
      </c>
      <c r="C30" s="42" t="s">
        <v>174</v>
      </c>
      <c r="D30" s="42" t="s">
        <v>118</v>
      </c>
      <c r="E30" s="57">
        <v>10.0</v>
      </c>
      <c r="F30" s="57">
        <v>5.0</v>
      </c>
      <c r="G30" s="58">
        <v>3200.0</v>
      </c>
      <c r="H30" s="58">
        <v>3200.0</v>
      </c>
      <c r="I30" s="58">
        <v>8000.0</v>
      </c>
      <c r="J30" s="58">
        <v>16000.0</v>
      </c>
      <c r="K30" s="56">
        <v>0.3</v>
      </c>
      <c r="L30" s="56">
        <v>0.06</v>
      </c>
      <c r="M30" s="56"/>
      <c r="N30" s="56">
        <v>1.2</v>
      </c>
      <c r="O30" s="56"/>
      <c r="P30" s="56"/>
      <c r="Q30" s="56"/>
      <c r="R30" s="56"/>
      <c r="S30" s="56">
        <v>0.00375</v>
      </c>
      <c r="T30" s="42" t="s">
        <v>86</v>
      </c>
      <c r="U30" s="42" t="s">
        <v>86</v>
      </c>
      <c r="V30" s="42" t="s">
        <v>127</v>
      </c>
    </row>
    <row r="31" ht="27.75" customHeight="1">
      <c r="A31" s="42" t="s">
        <v>113</v>
      </c>
      <c r="B31" s="42" t="s">
        <v>114</v>
      </c>
      <c r="C31" s="42" t="s">
        <v>184</v>
      </c>
      <c r="D31" s="42" t="s">
        <v>131</v>
      </c>
      <c r="E31" s="57">
        <v>10.0</v>
      </c>
      <c r="F31" s="57">
        <v>5.0</v>
      </c>
      <c r="G31" s="58">
        <v>3400.0</v>
      </c>
      <c r="H31" s="58">
        <v>3400.0</v>
      </c>
      <c r="I31" s="58">
        <v>8500.0</v>
      </c>
      <c r="J31" s="58">
        <v>17000.0</v>
      </c>
      <c r="K31" s="56">
        <v>0.3</v>
      </c>
      <c r="L31" s="56">
        <v>0.06</v>
      </c>
      <c r="M31" s="56">
        <v>0.375</v>
      </c>
      <c r="N31" s="56">
        <v>1.2</v>
      </c>
      <c r="O31" s="56"/>
      <c r="P31" s="56"/>
      <c r="Q31" s="56"/>
      <c r="R31" s="56"/>
      <c r="S31" s="56">
        <v>0.0035294117647058825</v>
      </c>
      <c r="T31" s="42" t="s">
        <v>86</v>
      </c>
      <c r="U31" s="42" t="s">
        <v>86</v>
      </c>
      <c r="V31" s="42" t="s">
        <v>127</v>
      </c>
    </row>
    <row r="32" ht="27.75" customHeight="1">
      <c r="A32" s="42" t="s">
        <v>113</v>
      </c>
      <c r="B32" s="42" t="s">
        <v>114</v>
      </c>
      <c r="C32" s="42" t="s">
        <v>193</v>
      </c>
      <c r="D32" s="42" t="s">
        <v>83</v>
      </c>
      <c r="E32" s="57">
        <v>10.0</v>
      </c>
      <c r="F32" s="57">
        <v>5.0</v>
      </c>
      <c r="G32" s="58">
        <v>950.0</v>
      </c>
      <c r="H32" s="58">
        <v>950.0</v>
      </c>
      <c r="I32" s="58">
        <v>2390.0</v>
      </c>
      <c r="J32" s="58">
        <v>4770.0</v>
      </c>
      <c r="K32" s="56">
        <v>2.5</v>
      </c>
      <c r="L32" s="56">
        <v>0.5</v>
      </c>
      <c r="M32" s="56">
        <v>3.125</v>
      </c>
      <c r="N32" s="56">
        <v>7.5</v>
      </c>
      <c r="O32" s="56"/>
      <c r="P32" s="56"/>
      <c r="Q32" s="56"/>
      <c r="R32" s="56"/>
      <c r="S32" s="56">
        <v>0.01263157894736842</v>
      </c>
      <c r="T32" s="42" t="s">
        <v>86</v>
      </c>
      <c r="U32" s="42" t="s">
        <v>86</v>
      </c>
      <c r="V32" s="42" t="s">
        <v>127</v>
      </c>
    </row>
    <row r="33" ht="27.75" customHeight="1">
      <c r="A33" s="42" t="s">
        <v>113</v>
      </c>
      <c r="B33" s="42" t="s">
        <v>114</v>
      </c>
      <c r="C33" s="42" t="s">
        <v>202</v>
      </c>
      <c r="D33" s="42" t="s">
        <v>100</v>
      </c>
      <c r="E33" s="57">
        <v>10.0</v>
      </c>
      <c r="F33" s="57">
        <v>5.0</v>
      </c>
      <c r="G33" s="58">
        <v>4300.0</v>
      </c>
      <c r="H33" s="58">
        <v>4300.0</v>
      </c>
      <c r="I33" s="58">
        <v>10800.0</v>
      </c>
      <c r="J33" s="58">
        <v>21600.0</v>
      </c>
      <c r="K33" s="56">
        <v>0.4</v>
      </c>
      <c r="L33" s="56">
        <v>0.04</v>
      </c>
      <c r="M33" s="56">
        <v>0.5</v>
      </c>
      <c r="N33" s="56">
        <v>1.6</v>
      </c>
      <c r="O33" s="56">
        <v>1.2</v>
      </c>
      <c r="P33" s="56">
        <v>0.12</v>
      </c>
      <c r="Q33" s="56">
        <v>1.5</v>
      </c>
      <c r="R33" s="56">
        <v>4.8</v>
      </c>
      <c r="S33" s="56">
        <v>0.0027906976744186047</v>
      </c>
      <c r="T33" s="42" t="s">
        <v>86</v>
      </c>
      <c r="U33" s="42" t="s">
        <v>86</v>
      </c>
      <c r="V33" s="42" t="s">
        <v>127</v>
      </c>
    </row>
    <row r="34" ht="27.75" customHeight="1">
      <c r="A34" s="42" t="s">
        <v>113</v>
      </c>
      <c r="B34" s="42" t="s">
        <v>114</v>
      </c>
      <c r="C34" s="42" t="s">
        <v>209</v>
      </c>
      <c r="D34" s="42" t="s">
        <v>131</v>
      </c>
      <c r="E34" s="57">
        <v>10.0</v>
      </c>
      <c r="F34" s="57">
        <v>5.0</v>
      </c>
      <c r="G34" s="58">
        <v>3300.0</v>
      </c>
      <c r="H34" s="58">
        <v>3300.0</v>
      </c>
      <c r="I34" s="58">
        <v>8200.0</v>
      </c>
      <c r="J34" s="58">
        <v>16300.0</v>
      </c>
      <c r="K34" s="56">
        <v>0.5</v>
      </c>
      <c r="L34" s="56">
        <v>0.05</v>
      </c>
      <c r="M34" s="56">
        <v>0.625</v>
      </c>
      <c r="N34" s="56">
        <v>3.0</v>
      </c>
      <c r="O34" s="56">
        <v>2.0</v>
      </c>
      <c r="P34" s="56">
        <v>0.2</v>
      </c>
      <c r="Q34" s="56">
        <v>2.5</v>
      </c>
      <c r="R34" s="56">
        <v>6.0</v>
      </c>
      <c r="S34" s="56">
        <v>0.0036363636363636364</v>
      </c>
      <c r="T34" s="42" t="s">
        <v>86</v>
      </c>
      <c r="U34" s="42" t="s">
        <v>86</v>
      </c>
      <c r="V34" s="42" t="s">
        <v>127</v>
      </c>
    </row>
    <row r="35" ht="27.75" customHeight="1">
      <c r="A35" s="42" t="s">
        <v>113</v>
      </c>
      <c r="B35" s="42" t="s">
        <v>114</v>
      </c>
      <c r="C35" s="42" t="s">
        <v>216</v>
      </c>
      <c r="D35" s="42" t="s">
        <v>118</v>
      </c>
      <c r="E35" s="57">
        <v>10.0</v>
      </c>
      <c r="F35" s="57">
        <v>5.0</v>
      </c>
      <c r="G35" s="58">
        <v>3450.0</v>
      </c>
      <c r="H35" s="58">
        <v>3450.0</v>
      </c>
      <c r="I35" s="58">
        <v>8550.0</v>
      </c>
      <c r="J35" s="58">
        <v>17150.0</v>
      </c>
      <c r="K35" s="56">
        <v>1.74</v>
      </c>
      <c r="L35" s="56">
        <v>0.0145</v>
      </c>
      <c r="M35" s="56"/>
      <c r="N35" s="56">
        <v>3.48</v>
      </c>
      <c r="O35" s="56"/>
      <c r="P35" s="56"/>
      <c r="Q35" s="56"/>
      <c r="R35" s="56"/>
      <c r="S35" s="56">
        <v>0.0034782608695652175</v>
      </c>
      <c r="T35" s="42" t="s">
        <v>86</v>
      </c>
      <c r="U35" s="42" t="s">
        <v>86</v>
      </c>
      <c r="V35" s="42" t="s">
        <v>127</v>
      </c>
    </row>
    <row r="36" ht="27.75" customHeight="1">
      <c r="A36" s="42" t="s">
        <v>113</v>
      </c>
      <c r="B36" s="42" t="s">
        <v>114</v>
      </c>
      <c r="C36" s="42" t="s">
        <v>225</v>
      </c>
      <c r="D36" s="42" t="s">
        <v>107</v>
      </c>
      <c r="E36" s="57">
        <v>10.0</v>
      </c>
      <c r="F36" s="57">
        <v>5.0</v>
      </c>
      <c r="G36" s="58">
        <v>31650.0</v>
      </c>
      <c r="H36" s="58">
        <v>31650.0</v>
      </c>
      <c r="I36" s="58">
        <v>79050.0</v>
      </c>
      <c r="J36" s="58">
        <v>158150.0</v>
      </c>
      <c r="K36" s="56">
        <v>0.14</v>
      </c>
      <c r="L36" s="56">
        <v>0.0028</v>
      </c>
      <c r="M36" s="56"/>
      <c r="N36" s="56">
        <v>0.28</v>
      </c>
      <c r="O36" s="56"/>
      <c r="P36" s="56"/>
      <c r="Q36" s="56"/>
      <c r="R36" s="56"/>
      <c r="S36" s="56">
        <v>3.791469194312796E-4</v>
      </c>
      <c r="T36" s="42" t="s">
        <v>86</v>
      </c>
      <c r="U36" s="42" t="s">
        <v>86</v>
      </c>
      <c r="V36" s="42" t="s">
        <v>127</v>
      </c>
    </row>
    <row r="37" ht="27.75" customHeight="1">
      <c r="A37" s="42" t="s">
        <v>787</v>
      </c>
      <c r="B37" s="42" t="s">
        <v>808</v>
      </c>
      <c r="C37" s="42" t="s">
        <v>788</v>
      </c>
      <c r="D37" s="42" t="s">
        <v>839</v>
      </c>
      <c r="E37" s="57"/>
      <c r="F37" s="57"/>
      <c r="G37" s="58"/>
      <c r="H37" s="58"/>
      <c r="I37" s="58"/>
      <c r="J37" s="58"/>
      <c r="K37" s="56">
        <v>10.0</v>
      </c>
      <c r="L37" s="56">
        <v>1.0</v>
      </c>
      <c r="M37" s="56">
        <v>12.5</v>
      </c>
      <c r="N37" s="56">
        <v>50.0</v>
      </c>
      <c r="O37" s="56">
        <v>10.0</v>
      </c>
      <c r="P37" s="56">
        <v>1.0</v>
      </c>
      <c r="Q37" s="56">
        <v>12.5</v>
      </c>
      <c r="R37" s="56">
        <v>50.0</v>
      </c>
      <c r="S37" s="56">
        <v>0.4</v>
      </c>
      <c r="T37" s="42" t="s">
        <v>86</v>
      </c>
      <c r="U37" s="42" t="s">
        <v>86</v>
      </c>
      <c r="V37" s="42" t="s">
        <v>811</v>
      </c>
    </row>
    <row r="38" ht="27.75" customHeight="1">
      <c r="A38" s="42" t="s">
        <v>787</v>
      </c>
      <c r="B38" s="42" t="s">
        <v>808</v>
      </c>
      <c r="C38" s="42" t="s">
        <v>790</v>
      </c>
      <c r="D38" s="42" t="s">
        <v>839</v>
      </c>
      <c r="E38" s="57"/>
      <c r="F38" s="57"/>
      <c r="G38" s="58"/>
      <c r="H38" s="58"/>
      <c r="I38" s="58"/>
      <c r="J38" s="58"/>
      <c r="K38" s="56">
        <v>5.0</v>
      </c>
      <c r="L38" s="56">
        <v>0.5</v>
      </c>
      <c r="M38" s="56">
        <v>6.25</v>
      </c>
      <c r="N38" s="56">
        <v>25.0</v>
      </c>
      <c r="O38" s="56">
        <v>5.0</v>
      </c>
      <c r="P38" s="56">
        <v>0.5</v>
      </c>
      <c r="Q38" s="56">
        <v>6.25</v>
      </c>
      <c r="R38" s="56">
        <v>25.0</v>
      </c>
      <c r="S38" s="56">
        <v>0.2</v>
      </c>
      <c r="T38" s="42" t="s">
        <v>86</v>
      </c>
      <c r="U38" s="42" t="s">
        <v>86</v>
      </c>
      <c r="V38" s="42" t="s">
        <v>811</v>
      </c>
    </row>
    <row r="39" ht="27.75" customHeight="1">
      <c r="A39" s="42" t="s">
        <v>787</v>
      </c>
      <c r="B39" s="42" t="s">
        <v>808</v>
      </c>
      <c r="C39" s="42" t="s">
        <v>792</v>
      </c>
      <c r="D39" s="42" t="s">
        <v>839</v>
      </c>
      <c r="E39" s="57"/>
      <c r="F39" s="57"/>
      <c r="G39" s="58"/>
      <c r="H39" s="58"/>
      <c r="I39" s="58"/>
      <c r="J39" s="58"/>
      <c r="K39" s="56">
        <v>2.0</v>
      </c>
      <c r="L39" s="56">
        <v>0.2</v>
      </c>
      <c r="M39" s="56">
        <v>2.5</v>
      </c>
      <c r="N39" s="56">
        <v>10.0</v>
      </c>
      <c r="O39" s="56">
        <v>2.0</v>
      </c>
      <c r="P39" s="56">
        <v>0.2</v>
      </c>
      <c r="Q39" s="56">
        <v>2.5</v>
      </c>
      <c r="R39" s="56">
        <v>10.0</v>
      </c>
      <c r="S39" s="56">
        <v>0.08</v>
      </c>
      <c r="T39" s="42" t="s">
        <v>86</v>
      </c>
      <c r="U39" s="42" t="s">
        <v>86</v>
      </c>
      <c r="V39" s="42" t="s">
        <v>811</v>
      </c>
    </row>
    <row r="40" ht="27.75" customHeight="1">
      <c r="A40" s="42" t="s">
        <v>787</v>
      </c>
      <c r="B40" s="42" t="s">
        <v>808</v>
      </c>
      <c r="C40" s="42" t="s">
        <v>794</v>
      </c>
      <c r="D40" s="42" t="s">
        <v>839</v>
      </c>
      <c r="E40" s="57"/>
      <c r="F40" s="57"/>
      <c r="G40" s="58"/>
      <c r="H40" s="58"/>
      <c r="I40" s="58"/>
      <c r="J40" s="58"/>
      <c r="K40" s="56">
        <v>1.0</v>
      </c>
      <c r="L40" s="56">
        <v>0.1</v>
      </c>
      <c r="M40" s="56">
        <v>1.25</v>
      </c>
      <c r="N40" s="56">
        <v>5.0</v>
      </c>
      <c r="O40" s="56"/>
      <c r="P40" s="56"/>
      <c r="Q40" s="56"/>
      <c r="R40" s="56"/>
      <c r="S40" s="56">
        <v>0.04</v>
      </c>
      <c r="T40" s="42" t="s">
        <v>86</v>
      </c>
      <c r="U40" s="42" t="s">
        <v>86</v>
      </c>
      <c r="V40" s="42" t="s">
        <v>811</v>
      </c>
    </row>
    <row r="41" ht="27.75" customHeight="1">
      <c r="A41" s="42" t="s">
        <v>232</v>
      </c>
      <c r="B41" s="42" t="s">
        <v>233</v>
      </c>
      <c r="C41" s="42" t="s">
        <v>234</v>
      </c>
      <c r="D41" s="42" t="s">
        <v>83</v>
      </c>
      <c r="E41" s="57"/>
      <c r="F41" s="57"/>
      <c r="G41" s="58"/>
      <c r="H41" s="58"/>
      <c r="I41" s="58"/>
      <c r="J41" s="58"/>
      <c r="K41" s="56">
        <v>2.0</v>
      </c>
      <c r="L41" s="56">
        <v>0.5</v>
      </c>
      <c r="M41" s="56"/>
      <c r="N41" s="56">
        <v>6.0</v>
      </c>
      <c r="O41" s="56"/>
      <c r="P41" s="56"/>
      <c r="Q41" s="56"/>
      <c r="R41" s="56"/>
      <c r="S41" s="56">
        <v>0.094</v>
      </c>
      <c r="T41" s="42" t="s">
        <v>86</v>
      </c>
      <c r="U41" s="42" t="s">
        <v>86</v>
      </c>
      <c r="V41" s="42" t="s">
        <v>244</v>
      </c>
    </row>
    <row r="42" ht="27.75" customHeight="1">
      <c r="A42" s="42" t="s">
        <v>232</v>
      </c>
      <c r="B42" s="42" t="s">
        <v>233</v>
      </c>
      <c r="C42" s="42" t="s">
        <v>840</v>
      </c>
      <c r="D42" s="42" t="s">
        <v>841</v>
      </c>
      <c r="E42" s="57"/>
      <c r="F42" s="57"/>
      <c r="G42" s="58"/>
      <c r="H42" s="58"/>
      <c r="I42" s="58"/>
      <c r="J42" s="58"/>
      <c r="K42" s="56">
        <v>1.25</v>
      </c>
      <c r="L42" s="56">
        <v>0.2</v>
      </c>
      <c r="M42" s="56"/>
      <c r="N42" s="56">
        <v>2.5</v>
      </c>
      <c r="O42" s="56"/>
      <c r="P42" s="56"/>
      <c r="Q42" s="56"/>
      <c r="R42" s="56"/>
      <c r="S42" s="56">
        <v>0.0425</v>
      </c>
      <c r="T42" s="42" t="s">
        <v>86</v>
      </c>
      <c r="U42" s="42" t="s">
        <v>96</v>
      </c>
      <c r="V42" s="42" t="s">
        <v>244</v>
      </c>
    </row>
    <row r="43" ht="27.75" customHeight="1">
      <c r="A43" s="42" t="s">
        <v>232</v>
      </c>
      <c r="B43" s="42" t="s">
        <v>233</v>
      </c>
      <c r="C43" s="42" t="s">
        <v>842</v>
      </c>
      <c r="D43" s="42" t="s">
        <v>118</v>
      </c>
      <c r="E43" s="57"/>
      <c r="F43" s="57"/>
      <c r="G43" s="58"/>
      <c r="H43" s="58"/>
      <c r="I43" s="58"/>
      <c r="J43" s="58"/>
      <c r="K43" s="56">
        <v>1.25</v>
      </c>
      <c r="L43" s="56">
        <v>0.2</v>
      </c>
      <c r="M43" s="56"/>
      <c r="N43" s="56">
        <v>2.5</v>
      </c>
      <c r="O43" s="56"/>
      <c r="P43" s="56"/>
      <c r="Q43" s="56"/>
      <c r="R43" s="56"/>
      <c r="S43" s="56">
        <v>0.0425</v>
      </c>
      <c r="T43" s="42" t="s">
        <v>86</v>
      </c>
      <c r="U43" s="42" t="s">
        <v>96</v>
      </c>
      <c r="V43" s="42" t="s">
        <v>244</v>
      </c>
    </row>
    <row r="44" ht="27.75" customHeight="1">
      <c r="A44" s="42" t="s">
        <v>232</v>
      </c>
      <c r="B44" s="42" t="s">
        <v>233</v>
      </c>
      <c r="C44" s="42" t="s">
        <v>843</v>
      </c>
      <c r="D44" s="42" t="s">
        <v>118</v>
      </c>
      <c r="E44" s="57"/>
      <c r="F44" s="57"/>
      <c r="G44" s="58"/>
      <c r="H44" s="58"/>
      <c r="I44" s="58"/>
      <c r="J44" s="58"/>
      <c r="K44" s="56">
        <v>1.25</v>
      </c>
      <c r="L44" s="56">
        <v>0.2</v>
      </c>
      <c r="M44" s="56"/>
      <c r="N44" s="56">
        <v>2.5</v>
      </c>
      <c r="O44" s="56"/>
      <c r="P44" s="56"/>
      <c r="Q44" s="56"/>
      <c r="R44" s="56"/>
      <c r="S44" s="56">
        <v>0.0425</v>
      </c>
      <c r="T44" s="42" t="s">
        <v>86</v>
      </c>
      <c r="U44" s="42" t="s">
        <v>96</v>
      </c>
      <c r="V44" s="42" t="s">
        <v>244</v>
      </c>
    </row>
    <row r="45" ht="27.75" customHeight="1">
      <c r="A45" s="42" t="s">
        <v>232</v>
      </c>
      <c r="B45" s="42" t="s">
        <v>233</v>
      </c>
      <c r="C45" s="42" t="s">
        <v>844</v>
      </c>
      <c r="D45" s="42" t="s">
        <v>845</v>
      </c>
      <c r="E45" s="57"/>
      <c r="F45" s="57"/>
      <c r="G45" s="58"/>
      <c r="H45" s="58"/>
      <c r="I45" s="58"/>
      <c r="J45" s="58"/>
      <c r="K45" s="56">
        <v>1.25</v>
      </c>
      <c r="L45" s="56">
        <v>0.2</v>
      </c>
      <c r="M45" s="56"/>
      <c r="N45" s="56">
        <v>2.5</v>
      </c>
      <c r="O45" s="56"/>
      <c r="P45" s="56"/>
      <c r="Q45" s="56"/>
      <c r="R45" s="56"/>
      <c r="S45" s="56">
        <v>0.0425</v>
      </c>
      <c r="T45" s="42" t="s">
        <v>86</v>
      </c>
      <c r="U45" s="42" t="s">
        <v>96</v>
      </c>
      <c r="V45" s="42" t="s">
        <v>244</v>
      </c>
    </row>
    <row r="46" ht="27.75" customHeight="1">
      <c r="A46" s="42" t="s">
        <v>232</v>
      </c>
      <c r="B46" s="42" t="s">
        <v>233</v>
      </c>
      <c r="C46" s="42" t="s">
        <v>846</v>
      </c>
      <c r="D46" s="42" t="s">
        <v>847</v>
      </c>
      <c r="E46" s="57"/>
      <c r="F46" s="57"/>
      <c r="G46" s="58"/>
      <c r="H46" s="58"/>
      <c r="I46" s="58"/>
      <c r="J46" s="58"/>
      <c r="K46" s="56">
        <v>1.0</v>
      </c>
      <c r="L46" s="56">
        <v>0.2</v>
      </c>
      <c r="M46" s="56"/>
      <c r="N46" s="56">
        <v>2.0</v>
      </c>
      <c r="O46" s="56"/>
      <c r="P46" s="56"/>
      <c r="Q46" s="56"/>
      <c r="R46" s="56"/>
      <c r="S46" s="56">
        <v>0.038</v>
      </c>
      <c r="T46" s="42" t="s">
        <v>86</v>
      </c>
      <c r="U46" s="42" t="s">
        <v>96</v>
      </c>
      <c r="V46" s="42" t="s">
        <v>244</v>
      </c>
    </row>
    <row r="47" ht="27.75" customHeight="1">
      <c r="A47" s="42" t="s">
        <v>246</v>
      </c>
      <c r="B47" s="42" t="s">
        <v>247</v>
      </c>
      <c r="C47" s="42" t="s">
        <v>392</v>
      </c>
      <c r="D47" s="42" t="s">
        <v>394</v>
      </c>
      <c r="E47" s="57"/>
      <c r="F47" s="57"/>
      <c r="G47" s="58"/>
      <c r="H47" s="58"/>
      <c r="I47" s="58"/>
      <c r="J47" s="58"/>
      <c r="K47" s="56">
        <v>2.0</v>
      </c>
      <c r="L47" s="56">
        <v>0.2</v>
      </c>
      <c r="M47" s="56"/>
      <c r="N47" s="56">
        <v>12.0</v>
      </c>
      <c r="O47" s="56">
        <v>4.0</v>
      </c>
      <c r="P47" s="56">
        <v>0.4</v>
      </c>
      <c r="Q47" s="56"/>
      <c r="R47" s="56">
        <v>18.0</v>
      </c>
      <c r="S47" s="56">
        <v>0.088</v>
      </c>
      <c r="T47" s="42" t="s">
        <v>86</v>
      </c>
      <c r="U47" s="42" t="s">
        <v>86</v>
      </c>
      <c r="V47" s="42" t="s">
        <v>262</v>
      </c>
    </row>
    <row r="48" ht="27.75" customHeight="1">
      <c r="A48" s="42" t="s">
        <v>246</v>
      </c>
      <c r="B48" s="42" t="s">
        <v>247</v>
      </c>
      <c r="C48" s="42" t="s">
        <v>403</v>
      </c>
      <c r="D48" s="42" t="s">
        <v>252</v>
      </c>
      <c r="E48" s="57"/>
      <c r="F48" s="57"/>
      <c r="G48" s="58"/>
      <c r="H48" s="58"/>
      <c r="I48" s="58"/>
      <c r="J48" s="58"/>
      <c r="K48" s="56">
        <v>1.5</v>
      </c>
      <c r="L48" s="56">
        <v>0.15</v>
      </c>
      <c r="M48" s="56"/>
      <c r="N48" s="56">
        <v>9.0</v>
      </c>
      <c r="O48" s="56"/>
      <c r="P48" s="56"/>
      <c r="Q48" s="56"/>
      <c r="R48" s="56"/>
      <c r="S48" s="56">
        <v>0.066</v>
      </c>
      <c r="T48" s="42" t="s">
        <v>86</v>
      </c>
      <c r="U48" s="42" t="s">
        <v>86</v>
      </c>
      <c r="V48" s="42" t="s">
        <v>262</v>
      </c>
    </row>
    <row r="49" ht="27.75" customHeight="1">
      <c r="A49" s="42" t="s">
        <v>246</v>
      </c>
      <c r="B49" s="42" t="s">
        <v>247</v>
      </c>
      <c r="C49" s="42" t="s">
        <v>410</v>
      </c>
      <c r="D49" s="42" t="s">
        <v>848</v>
      </c>
      <c r="E49" s="57"/>
      <c r="F49" s="57"/>
      <c r="G49" s="58"/>
      <c r="H49" s="58"/>
      <c r="I49" s="58"/>
      <c r="J49" s="58"/>
      <c r="K49" s="56">
        <v>0.5</v>
      </c>
      <c r="L49" s="56">
        <v>0.05</v>
      </c>
      <c r="M49" s="56"/>
      <c r="N49" s="56">
        <v>3.0</v>
      </c>
      <c r="O49" s="56"/>
      <c r="P49" s="56"/>
      <c r="Q49" s="56"/>
      <c r="R49" s="56"/>
      <c r="S49" s="56">
        <v>0.022</v>
      </c>
      <c r="T49" s="42" t="s">
        <v>86</v>
      </c>
      <c r="U49" s="42" t="s">
        <v>86</v>
      </c>
      <c r="V49" s="42" t="s">
        <v>262</v>
      </c>
    </row>
    <row r="50" ht="27.75" customHeight="1">
      <c r="A50" s="42" t="s">
        <v>246</v>
      </c>
      <c r="B50" s="42" t="s">
        <v>247</v>
      </c>
      <c r="C50" s="42" t="s">
        <v>248</v>
      </c>
      <c r="D50" s="42" t="s">
        <v>252</v>
      </c>
      <c r="E50" s="57"/>
      <c r="F50" s="57"/>
      <c r="G50" s="58"/>
      <c r="H50" s="58"/>
      <c r="I50" s="58"/>
      <c r="J50" s="58"/>
      <c r="K50" s="56">
        <v>0.25</v>
      </c>
      <c r="L50" s="56">
        <v>0.025</v>
      </c>
      <c r="M50" s="56"/>
      <c r="N50" s="56">
        <v>1.5</v>
      </c>
      <c r="O50" s="56"/>
      <c r="P50" s="56"/>
      <c r="Q50" s="56"/>
      <c r="R50" s="56"/>
      <c r="S50" s="56">
        <v>0.011</v>
      </c>
      <c r="T50" s="42" t="s">
        <v>86</v>
      </c>
      <c r="U50" s="42" t="s">
        <v>96</v>
      </c>
      <c r="V50" s="42" t="s">
        <v>262</v>
      </c>
    </row>
    <row r="51" ht="27.75" customHeight="1">
      <c r="A51" s="42" t="s">
        <v>246</v>
      </c>
      <c r="B51" s="42" t="s">
        <v>247</v>
      </c>
      <c r="C51" s="42" t="s">
        <v>423</v>
      </c>
      <c r="D51" s="42" t="s">
        <v>425</v>
      </c>
      <c r="E51" s="57"/>
      <c r="F51" s="57"/>
      <c r="G51" s="58"/>
      <c r="H51" s="58"/>
      <c r="I51" s="58"/>
      <c r="J51" s="58"/>
      <c r="K51" s="56">
        <v>1.25</v>
      </c>
      <c r="L51" s="56">
        <v>0.125</v>
      </c>
      <c r="M51" s="56"/>
      <c r="N51" s="56">
        <v>10.0</v>
      </c>
      <c r="O51" s="56">
        <v>2.5</v>
      </c>
      <c r="P51" s="56">
        <v>0.25</v>
      </c>
      <c r="Q51" s="56"/>
      <c r="R51" s="56">
        <v>15.0</v>
      </c>
      <c r="S51" s="56">
        <v>0.065</v>
      </c>
      <c r="T51" s="42" t="s">
        <v>86</v>
      </c>
      <c r="U51" s="42" t="s">
        <v>96</v>
      </c>
      <c r="V51" s="42" t="s">
        <v>262</v>
      </c>
    </row>
    <row r="52" ht="27.75" customHeight="1">
      <c r="A52" s="42" t="s">
        <v>246</v>
      </c>
      <c r="B52" s="42" t="s">
        <v>247</v>
      </c>
      <c r="C52" s="42" t="s">
        <v>432</v>
      </c>
      <c r="D52" s="42" t="s">
        <v>425</v>
      </c>
      <c r="E52" s="57"/>
      <c r="F52" s="57"/>
      <c r="G52" s="58"/>
      <c r="H52" s="58"/>
      <c r="I52" s="58"/>
      <c r="J52" s="58"/>
      <c r="K52" s="56">
        <v>0.3</v>
      </c>
      <c r="L52" s="56">
        <v>0.03</v>
      </c>
      <c r="M52" s="56"/>
      <c r="N52" s="56">
        <v>2.5</v>
      </c>
      <c r="O52" s="56"/>
      <c r="P52" s="56"/>
      <c r="Q52" s="56"/>
      <c r="R52" s="56"/>
      <c r="S52" s="56">
        <v>0.016</v>
      </c>
      <c r="T52" s="42" t="s">
        <v>86</v>
      </c>
      <c r="U52" s="42" t="s">
        <v>96</v>
      </c>
      <c r="V52" s="42" t="s">
        <v>262</v>
      </c>
    </row>
    <row r="53" ht="27.75" customHeight="1">
      <c r="A53" s="42" t="s">
        <v>246</v>
      </c>
      <c r="B53" s="42" t="s">
        <v>247</v>
      </c>
      <c r="C53" s="42" t="s">
        <v>440</v>
      </c>
      <c r="D53" s="42" t="s">
        <v>425</v>
      </c>
      <c r="E53" s="57"/>
      <c r="F53" s="57"/>
      <c r="G53" s="58"/>
      <c r="H53" s="58"/>
      <c r="I53" s="58"/>
      <c r="J53" s="58"/>
      <c r="K53" s="56">
        <v>0.1</v>
      </c>
      <c r="L53" s="56">
        <v>0.01</v>
      </c>
      <c r="M53" s="56"/>
      <c r="N53" s="56">
        <v>0.4</v>
      </c>
      <c r="O53" s="56"/>
      <c r="P53" s="56"/>
      <c r="Q53" s="56"/>
      <c r="R53" s="56"/>
      <c r="S53" s="56">
        <v>0.0036</v>
      </c>
      <c r="T53" s="42" t="s">
        <v>86</v>
      </c>
      <c r="U53" s="42" t="s">
        <v>96</v>
      </c>
      <c r="V53" s="42" t="s">
        <v>262</v>
      </c>
    </row>
    <row r="54" ht="27.75" customHeight="1">
      <c r="A54" s="42" t="s">
        <v>246</v>
      </c>
      <c r="B54" s="42" t="s">
        <v>849</v>
      </c>
      <c r="C54" s="42" t="s">
        <v>266</v>
      </c>
      <c r="D54" s="42" t="s">
        <v>270</v>
      </c>
      <c r="E54" s="57"/>
      <c r="F54" s="57"/>
      <c r="G54" s="58"/>
      <c r="H54" s="58"/>
      <c r="I54" s="58"/>
      <c r="J54" s="58"/>
      <c r="K54" s="56">
        <v>0.0</v>
      </c>
      <c r="L54" s="56">
        <v>0.0</v>
      </c>
      <c r="M54" s="56"/>
      <c r="N54" s="56">
        <v>0.0</v>
      </c>
      <c r="O54" s="56"/>
      <c r="P54" s="56"/>
      <c r="Q54" s="56"/>
      <c r="R54" s="56"/>
      <c r="S54" s="56">
        <v>0.0</v>
      </c>
      <c r="T54" s="42" t="s">
        <v>86</v>
      </c>
      <c r="U54" s="42" t="s">
        <v>86</v>
      </c>
      <c r="V54" s="42" t="s">
        <v>262</v>
      </c>
    </row>
    <row r="55" ht="27.75" customHeight="1">
      <c r="A55" s="42" t="s">
        <v>555</v>
      </c>
      <c r="B55" s="42" t="s">
        <v>815</v>
      </c>
      <c r="C55" s="42" t="s">
        <v>556</v>
      </c>
      <c r="D55" s="42" t="s">
        <v>850</v>
      </c>
      <c r="E55" s="57"/>
      <c r="F55" s="57"/>
      <c r="G55" s="58"/>
      <c r="H55" s="58"/>
      <c r="I55" s="58"/>
      <c r="J55" s="58"/>
      <c r="K55" s="56">
        <v>1.5</v>
      </c>
      <c r="L55" s="56">
        <v>0.15</v>
      </c>
      <c r="M55" s="56"/>
      <c r="N55" s="56">
        <v>7.5</v>
      </c>
      <c r="O55" s="56"/>
      <c r="P55" s="56"/>
      <c r="Q55" s="56"/>
      <c r="R55" s="56"/>
      <c r="S55" s="56">
        <v>0.06</v>
      </c>
      <c r="T55" s="42" t="s">
        <v>86</v>
      </c>
      <c r="U55" s="42" t="s">
        <v>86</v>
      </c>
      <c r="V55" s="42" t="s">
        <v>851</v>
      </c>
    </row>
    <row r="56" ht="27.75" customHeight="1">
      <c r="A56" s="42" t="s">
        <v>555</v>
      </c>
      <c r="B56" s="42" t="s">
        <v>815</v>
      </c>
      <c r="C56" s="42" t="s">
        <v>565</v>
      </c>
      <c r="D56" s="42" t="s">
        <v>852</v>
      </c>
      <c r="E56" s="57"/>
      <c r="F56" s="57"/>
      <c r="G56" s="58"/>
      <c r="H56" s="58"/>
      <c r="I56" s="58"/>
      <c r="J56" s="58"/>
      <c r="K56" s="56">
        <v>0.15</v>
      </c>
      <c r="L56" s="56">
        <v>0.015</v>
      </c>
      <c r="M56" s="56"/>
      <c r="N56" s="56">
        <v>0.6</v>
      </c>
      <c r="O56" s="56"/>
      <c r="P56" s="56"/>
      <c r="Q56" s="56"/>
      <c r="R56" s="56"/>
      <c r="S56" s="56">
        <v>0.0054</v>
      </c>
      <c r="T56" s="42" t="s">
        <v>86</v>
      </c>
      <c r="U56" s="42" t="s">
        <v>96</v>
      </c>
      <c r="V56" s="42" t="s">
        <v>853</v>
      </c>
    </row>
    <row r="57" ht="27.75" customHeight="1">
      <c r="A57" s="42" t="s">
        <v>555</v>
      </c>
      <c r="B57" s="42" t="s">
        <v>815</v>
      </c>
      <c r="C57" s="42" t="s">
        <v>581</v>
      </c>
      <c r="D57" s="42" t="s">
        <v>852</v>
      </c>
      <c r="E57" s="57"/>
      <c r="F57" s="57"/>
      <c r="G57" s="58"/>
      <c r="H57" s="58"/>
      <c r="I57" s="58"/>
      <c r="J57" s="58"/>
      <c r="K57" s="56">
        <v>0.5</v>
      </c>
      <c r="L57" s="56">
        <v>0.05</v>
      </c>
      <c r="M57" s="56"/>
      <c r="N57" s="56">
        <v>1.5</v>
      </c>
      <c r="O57" s="56"/>
      <c r="P57" s="56"/>
      <c r="Q57" s="56"/>
      <c r="R57" s="56"/>
      <c r="S57" s="56">
        <v>0.016</v>
      </c>
      <c r="T57" s="42" t="s">
        <v>86</v>
      </c>
      <c r="U57" s="42" t="s">
        <v>96</v>
      </c>
      <c r="V57" s="42" t="s">
        <v>854</v>
      </c>
    </row>
    <row r="58" ht="27.75" customHeight="1">
      <c r="A58" s="42" t="s">
        <v>555</v>
      </c>
      <c r="B58" s="42" t="s">
        <v>855</v>
      </c>
      <c r="C58" s="42" t="s">
        <v>587</v>
      </c>
      <c r="D58" s="42" t="s">
        <v>856</v>
      </c>
      <c r="E58" s="57"/>
      <c r="F58" s="57"/>
      <c r="G58" s="58"/>
      <c r="H58" s="58"/>
      <c r="I58" s="58"/>
      <c r="J58" s="58"/>
      <c r="K58" s="56">
        <v>0.3</v>
      </c>
      <c r="L58" s="56">
        <v>0.03</v>
      </c>
      <c r="M58" s="56"/>
      <c r="N58" s="56">
        <v>0.9</v>
      </c>
      <c r="O58" s="56"/>
      <c r="P58" s="56"/>
      <c r="Q58" s="56"/>
      <c r="R58" s="56"/>
      <c r="S58" s="56">
        <v>0.0096</v>
      </c>
      <c r="T58" s="42" t="s">
        <v>86</v>
      </c>
      <c r="U58" s="42" t="s">
        <v>96</v>
      </c>
      <c r="V58" s="42" t="s">
        <v>857</v>
      </c>
    </row>
    <row r="59" ht="27.75" customHeight="1">
      <c r="A59" s="42" t="s">
        <v>555</v>
      </c>
      <c r="B59" s="42" t="s">
        <v>815</v>
      </c>
      <c r="C59" s="42" t="s">
        <v>599</v>
      </c>
      <c r="D59" s="42" t="s">
        <v>858</v>
      </c>
      <c r="E59" s="57"/>
      <c r="F59" s="57"/>
      <c r="G59" s="58"/>
      <c r="H59" s="58"/>
      <c r="I59" s="58"/>
      <c r="J59" s="58"/>
      <c r="K59" s="56">
        <v>0.4</v>
      </c>
      <c r="L59" s="56">
        <v>0.04</v>
      </c>
      <c r="M59" s="56"/>
      <c r="N59" s="56">
        <v>2.0</v>
      </c>
      <c r="O59" s="56"/>
      <c r="P59" s="56"/>
      <c r="Q59" s="56"/>
      <c r="R59" s="56"/>
      <c r="S59" s="56">
        <v>0.016</v>
      </c>
      <c r="T59" s="42" t="s">
        <v>86</v>
      </c>
      <c r="U59" s="42" t="s">
        <v>96</v>
      </c>
      <c r="V59" s="42" t="s">
        <v>600</v>
      </c>
    </row>
    <row r="60" ht="27.75" customHeight="1">
      <c r="A60" s="42" t="s">
        <v>283</v>
      </c>
      <c r="B60" s="42" t="s">
        <v>284</v>
      </c>
      <c r="C60" s="42" t="s">
        <v>285</v>
      </c>
      <c r="D60" s="42" t="s">
        <v>289</v>
      </c>
      <c r="E60" s="57"/>
      <c r="F60" s="57"/>
      <c r="G60" s="58"/>
      <c r="H60" s="58"/>
      <c r="I60" s="58"/>
      <c r="J60" s="58"/>
      <c r="K60" s="56"/>
      <c r="L60" s="56"/>
      <c r="M60" s="56"/>
      <c r="N60" s="56"/>
      <c r="O60" s="56"/>
      <c r="P60" s="56"/>
      <c r="Q60" s="56"/>
      <c r="R60" s="56"/>
      <c r="S60" s="56"/>
      <c r="T60" s="42" t="s">
        <v>96</v>
      </c>
      <c r="U60" s="42" t="s">
        <v>96</v>
      </c>
      <c r="V60" s="42" t="s">
        <v>299</v>
      </c>
    </row>
    <row r="61" ht="27.75" customHeight="1">
      <c r="A61" s="42" t="s">
        <v>283</v>
      </c>
      <c r="B61" s="42" t="s">
        <v>284</v>
      </c>
      <c r="C61" s="42" t="s">
        <v>302</v>
      </c>
      <c r="D61" s="42" t="s">
        <v>289</v>
      </c>
      <c r="E61" s="57"/>
      <c r="F61" s="57"/>
      <c r="G61" s="58"/>
      <c r="H61" s="58"/>
      <c r="I61" s="58"/>
      <c r="J61" s="58"/>
      <c r="K61" s="56"/>
      <c r="L61" s="56"/>
      <c r="M61" s="56"/>
      <c r="N61" s="56"/>
      <c r="O61" s="56"/>
      <c r="P61" s="56"/>
      <c r="Q61" s="56"/>
      <c r="R61" s="56"/>
      <c r="S61" s="56"/>
      <c r="T61" s="42" t="s">
        <v>96</v>
      </c>
      <c r="U61" s="42" t="s">
        <v>96</v>
      </c>
      <c r="V61" s="42" t="s">
        <v>312</v>
      </c>
    </row>
    <row r="62" ht="27.75" customHeight="1">
      <c r="A62" s="42" t="s">
        <v>283</v>
      </c>
      <c r="B62" s="42" t="s">
        <v>284</v>
      </c>
      <c r="C62" s="42" t="s">
        <v>314</v>
      </c>
      <c r="D62" s="42" t="s">
        <v>289</v>
      </c>
      <c r="E62" s="57"/>
      <c r="F62" s="57"/>
      <c r="G62" s="58"/>
      <c r="H62" s="58"/>
      <c r="I62" s="58"/>
      <c r="J62" s="58"/>
      <c r="K62" s="56"/>
      <c r="L62" s="56"/>
      <c r="M62" s="56"/>
      <c r="N62" s="56"/>
      <c r="O62" s="56"/>
      <c r="P62" s="56"/>
      <c r="Q62" s="56"/>
      <c r="R62" s="56"/>
      <c r="S62" s="56"/>
      <c r="T62" s="42" t="s">
        <v>96</v>
      </c>
      <c r="U62" s="42" t="s">
        <v>96</v>
      </c>
      <c r="V62" s="42" t="s">
        <v>323</v>
      </c>
    </row>
    <row r="63" ht="27.75" customHeight="1">
      <c r="A63" s="42" t="s">
        <v>283</v>
      </c>
      <c r="B63" s="42" t="s">
        <v>284</v>
      </c>
      <c r="C63" s="42" t="s">
        <v>325</v>
      </c>
      <c r="D63" s="42" t="s">
        <v>289</v>
      </c>
      <c r="E63" s="57"/>
      <c r="F63" s="57"/>
      <c r="G63" s="58"/>
      <c r="H63" s="58"/>
      <c r="I63" s="58"/>
      <c r="J63" s="58"/>
      <c r="K63" s="56"/>
      <c r="L63" s="56"/>
      <c r="M63" s="56"/>
      <c r="N63" s="56"/>
      <c r="O63" s="56"/>
      <c r="P63" s="56"/>
      <c r="Q63" s="56"/>
      <c r="R63" s="56"/>
      <c r="S63" s="56"/>
      <c r="T63" s="42" t="s">
        <v>86</v>
      </c>
      <c r="U63" s="42" t="s">
        <v>96</v>
      </c>
      <c r="V63" s="42" t="s">
        <v>337</v>
      </c>
    </row>
    <row r="64" ht="27.75" customHeight="1">
      <c r="A64" s="42" t="s">
        <v>555</v>
      </c>
      <c r="B64" s="42" t="s">
        <v>815</v>
      </c>
      <c r="C64" s="42" t="s">
        <v>661</v>
      </c>
      <c r="D64" s="42" t="s">
        <v>852</v>
      </c>
      <c r="E64" s="57"/>
      <c r="F64" s="57"/>
      <c r="G64" s="58"/>
      <c r="H64" s="58"/>
      <c r="I64" s="58"/>
      <c r="J64" s="58"/>
      <c r="K64" s="56">
        <v>0.2</v>
      </c>
      <c r="L64" s="56"/>
      <c r="M64" s="56"/>
      <c r="N64" s="56">
        <v>0.2</v>
      </c>
      <c r="O64" s="56"/>
      <c r="P64" s="56"/>
      <c r="Q64" s="56"/>
      <c r="R64" s="56"/>
      <c r="S64" s="56">
        <v>0.0028</v>
      </c>
      <c r="T64" s="42" t="s">
        <v>86</v>
      </c>
      <c r="U64" s="42" t="s">
        <v>96</v>
      </c>
      <c r="V64" s="42" t="s">
        <v>859</v>
      </c>
    </row>
    <row r="65" ht="27.75" customHeight="1">
      <c r="A65" s="42" t="s">
        <v>555</v>
      </c>
      <c r="B65" s="42" t="s">
        <v>815</v>
      </c>
      <c r="C65" s="42" t="s">
        <v>688</v>
      </c>
      <c r="D65" s="42" t="s">
        <v>852</v>
      </c>
      <c r="E65" s="57"/>
      <c r="F65" s="57"/>
      <c r="G65" s="58"/>
      <c r="H65" s="58"/>
      <c r="I65" s="58"/>
      <c r="J65" s="58"/>
      <c r="K65" s="56">
        <v>0.15</v>
      </c>
      <c r="L65" s="56"/>
      <c r="M65" s="56"/>
      <c r="N65" s="56">
        <v>0.15</v>
      </c>
      <c r="O65" s="56"/>
      <c r="P65" s="56"/>
      <c r="Q65" s="56"/>
      <c r="R65" s="56"/>
      <c r="S65" s="56">
        <v>0.0021</v>
      </c>
      <c r="T65" s="42" t="s">
        <v>86</v>
      </c>
      <c r="U65" s="42" t="s">
        <v>96</v>
      </c>
      <c r="V65" s="42" t="s">
        <v>860</v>
      </c>
    </row>
    <row r="66" ht="27.75" customHeight="1">
      <c r="A66" s="42" t="s">
        <v>555</v>
      </c>
      <c r="B66" s="42" t="s">
        <v>815</v>
      </c>
      <c r="C66" s="42" t="s">
        <v>689</v>
      </c>
      <c r="D66" s="42" t="s">
        <v>852</v>
      </c>
      <c r="E66" s="57"/>
      <c r="F66" s="57"/>
      <c r="G66" s="58"/>
      <c r="H66" s="58"/>
      <c r="I66" s="58"/>
      <c r="J66" s="58"/>
      <c r="K66" s="56">
        <v>0.1</v>
      </c>
      <c r="L66" s="56"/>
      <c r="M66" s="56"/>
      <c r="N66" s="56">
        <v>0.1</v>
      </c>
      <c r="O66" s="56"/>
      <c r="P66" s="56"/>
      <c r="Q66" s="56"/>
      <c r="R66" s="56"/>
      <c r="S66" s="56">
        <v>0.0014</v>
      </c>
      <c r="T66" s="42" t="s">
        <v>86</v>
      </c>
      <c r="U66" s="42" t="s">
        <v>96</v>
      </c>
      <c r="V66" s="42" t="s">
        <v>861</v>
      </c>
    </row>
    <row r="67" ht="27.75" customHeight="1">
      <c r="A67" s="42" t="s">
        <v>690</v>
      </c>
      <c r="B67" s="42" t="s">
        <v>862</v>
      </c>
      <c r="C67" s="42" t="s">
        <v>341</v>
      </c>
      <c r="D67" s="42" t="s">
        <v>344</v>
      </c>
      <c r="E67" s="57"/>
      <c r="F67" s="57"/>
      <c r="G67" s="58"/>
      <c r="H67" s="58"/>
      <c r="I67" s="58"/>
      <c r="J67" s="58"/>
      <c r="K67" s="56"/>
      <c r="L67" s="56"/>
      <c r="M67" s="56"/>
      <c r="N67" s="56"/>
      <c r="O67" s="56"/>
      <c r="P67" s="56"/>
      <c r="Q67" s="56"/>
      <c r="R67" s="56"/>
      <c r="S67" s="56"/>
      <c r="T67" s="42" t="s">
        <v>96</v>
      </c>
      <c r="U67" s="42" t="s">
        <v>96</v>
      </c>
      <c r="V67" s="42" t="s">
        <v>352</v>
      </c>
    </row>
    <row r="68" ht="27.75" customHeight="1">
      <c r="A68" s="42" t="s">
        <v>714</v>
      </c>
      <c r="B68" s="42" t="s">
        <v>863</v>
      </c>
      <c r="C68" s="42" t="s">
        <v>357</v>
      </c>
      <c r="D68" s="42" t="s">
        <v>361</v>
      </c>
      <c r="E68" s="57"/>
      <c r="F68" s="57"/>
      <c r="G68" s="58"/>
      <c r="H68" s="58"/>
      <c r="I68" s="58"/>
      <c r="J68" s="58"/>
      <c r="K68" s="56">
        <v>0.1986</v>
      </c>
      <c r="L68" s="56">
        <v>0.0397</v>
      </c>
      <c r="M68" s="56"/>
      <c r="N68" s="56">
        <v>1.1914</v>
      </c>
      <c r="O68" s="56"/>
      <c r="P68" s="56"/>
      <c r="Q68" s="56"/>
      <c r="R68" s="56"/>
      <c r="S68" s="56">
        <v>0.010722</v>
      </c>
      <c r="T68" s="42" t="s">
        <v>86</v>
      </c>
      <c r="U68" s="42" t="s">
        <v>86</v>
      </c>
      <c r="V68" s="42" t="s">
        <v>369</v>
      </c>
    </row>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Q1"/>
    <mergeCell ref="A2:Q2"/>
  </mergeCells>
  <printOptions/>
  <pageMargins bottom="0.75" footer="0.0" header="0.0" left="0.7" right="0.7" top="0.75"/>
  <pageSetup orientation="landscape"/>
  <drawing r:id="rId1"/>
  <tableParts count="1">
    <tablePart r:id="rId3"/>
  </tableParts>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0.1" defaultRowHeight="15.0"/>
  <cols>
    <col customWidth="1" min="1" max="1" width="16.0"/>
    <col customWidth="1" min="2" max="2" width="24.0"/>
    <col customWidth="1" min="3" max="3" width="44.0"/>
    <col customWidth="1" min="4" max="7" width="20.8"/>
    <col customWidth="1" min="8" max="26" width="6.9"/>
  </cols>
  <sheetData>
    <row r="1" ht="27.75" customHeight="1">
      <c r="A1" s="1" t="s">
        <v>864</v>
      </c>
    </row>
    <row r="2" ht="39.75" customHeight="1">
      <c r="A2" s="36" t="s">
        <v>865</v>
      </c>
    </row>
    <row r="3">
      <c r="A3" s="4"/>
      <c r="B3" s="4"/>
      <c r="C3" s="4"/>
      <c r="D3" s="4"/>
      <c r="E3" s="4"/>
      <c r="F3" s="4"/>
      <c r="G3" s="4"/>
    </row>
    <row r="4" ht="37.5" customHeight="1">
      <c r="A4" s="31" t="s">
        <v>866</v>
      </c>
      <c r="B4" s="31" t="s">
        <v>867</v>
      </c>
      <c r="C4" s="31" t="s">
        <v>868</v>
      </c>
      <c r="D4" s="31" t="s">
        <v>869</v>
      </c>
      <c r="E4" s="31" t="s">
        <v>870</v>
      </c>
      <c r="F4" s="31" t="s">
        <v>871</v>
      </c>
      <c r="G4" s="31" t="s">
        <v>8</v>
      </c>
    </row>
    <row r="5">
      <c r="A5" s="34" t="s">
        <v>872</v>
      </c>
      <c r="B5" s="34" t="s">
        <v>873</v>
      </c>
      <c r="C5" s="34" t="s">
        <v>874</v>
      </c>
      <c r="D5" s="34" t="s">
        <v>875</v>
      </c>
      <c r="E5" s="34" t="s">
        <v>876</v>
      </c>
      <c r="F5" s="34" t="s">
        <v>877</v>
      </c>
      <c r="G5" s="34" t="s">
        <v>878</v>
      </c>
    </row>
    <row r="6">
      <c r="A6" s="34" t="s">
        <v>879</v>
      </c>
      <c r="B6" s="34" t="s">
        <v>880</v>
      </c>
      <c r="C6" s="34" t="s">
        <v>881</v>
      </c>
      <c r="D6" s="34" t="s">
        <v>882</v>
      </c>
      <c r="E6" s="34" t="s">
        <v>883</v>
      </c>
      <c r="F6" s="34" t="s">
        <v>884</v>
      </c>
      <c r="G6" s="34" t="s">
        <v>885</v>
      </c>
    </row>
    <row r="7">
      <c r="A7" s="34" t="s">
        <v>886</v>
      </c>
      <c r="B7" s="34" t="s">
        <v>887</v>
      </c>
      <c r="C7" s="34" t="s">
        <v>888</v>
      </c>
      <c r="D7" s="34" t="s">
        <v>889</v>
      </c>
      <c r="E7" s="34" t="s">
        <v>86</v>
      </c>
      <c r="F7" s="34" t="s">
        <v>890</v>
      </c>
      <c r="G7" s="34" t="s">
        <v>885</v>
      </c>
    </row>
    <row r="8">
      <c r="A8" s="34" t="s">
        <v>891</v>
      </c>
      <c r="B8" s="34" t="s">
        <v>892</v>
      </c>
      <c r="C8" s="34" t="s">
        <v>893</v>
      </c>
      <c r="D8" s="34" t="s">
        <v>894</v>
      </c>
      <c r="E8" s="34" t="s">
        <v>876</v>
      </c>
      <c r="F8" s="34" t="s">
        <v>895</v>
      </c>
      <c r="G8" s="34" t="s">
        <v>885</v>
      </c>
    </row>
    <row r="9">
      <c r="A9" s="34" t="s">
        <v>377</v>
      </c>
      <c r="B9" s="34" t="s">
        <v>896</v>
      </c>
      <c r="C9" s="34" t="s">
        <v>897</v>
      </c>
      <c r="D9" s="34" t="s">
        <v>898</v>
      </c>
      <c r="E9" s="34" t="s">
        <v>876</v>
      </c>
      <c r="F9" s="34" t="s">
        <v>899</v>
      </c>
      <c r="G9" s="34" t="s">
        <v>885</v>
      </c>
    </row>
    <row r="10">
      <c r="A10" s="34" t="s">
        <v>900</v>
      </c>
      <c r="B10" s="34" t="s">
        <v>901</v>
      </c>
      <c r="C10" s="34" t="s">
        <v>902</v>
      </c>
      <c r="D10" s="34" t="s">
        <v>903</v>
      </c>
      <c r="E10" s="34" t="s">
        <v>96</v>
      </c>
      <c r="F10" s="34" t="s">
        <v>904</v>
      </c>
      <c r="G10" s="34" t="s">
        <v>885</v>
      </c>
    </row>
    <row r="11">
      <c r="A11" s="34" t="s">
        <v>479</v>
      </c>
      <c r="B11" s="34" t="s">
        <v>905</v>
      </c>
      <c r="C11" s="34" t="s">
        <v>906</v>
      </c>
      <c r="D11" s="34" t="s">
        <v>907</v>
      </c>
      <c r="E11" s="34" t="s">
        <v>908</v>
      </c>
      <c r="F11" s="34" t="s">
        <v>909</v>
      </c>
      <c r="G11" s="34" t="s">
        <v>885</v>
      </c>
    </row>
    <row r="12">
      <c r="A12" s="4"/>
      <c r="B12" s="4"/>
      <c r="C12" s="4"/>
      <c r="D12" s="4"/>
      <c r="E12" s="4"/>
      <c r="F12" s="4"/>
      <c r="G12" s="4"/>
    </row>
    <row r="13">
      <c r="A13" s="4"/>
      <c r="B13" s="4"/>
      <c r="C13" s="4"/>
      <c r="D13" s="4"/>
      <c r="E13" s="4"/>
      <c r="F13" s="4"/>
      <c r="G13" s="4"/>
    </row>
    <row r="14" ht="37.5" customHeight="1">
      <c r="A14" s="31" t="s">
        <v>910</v>
      </c>
      <c r="B14" s="31" t="s">
        <v>911</v>
      </c>
      <c r="C14" s="31" t="s">
        <v>912</v>
      </c>
      <c r="D14" s="31" t="s">
        <v>464</v>
      </c>
      <c r="E14" s="31" t="s">
        <v>913</v>
      </c>
      <c r="F14" s="31" t="s">
        <v>914</v>
      </c>
      <c r="G14" s="31" t="s">
        <v>391</v>
      </c>
    </row>
    <row r="15">
      <c r="A15" s="34" t="s">
        <v>915</v>
      </c>
      <c r="B15" s="34" t="s">
        <v>916</v>
      </c>
      <c r="C15" s="34" t="s">
        <v>917</v>
      </c>
      <c r="D15" s="34" t="s">
        <v>918</v>
      </c>
      <c r="E15" s="34" t="s">
        <v>919</v>
      </c>
      <c r="F15" s="34" t="s">
        <v>920</v>
      </c>
      <c r="G15" s="34" t="s">
        <v>921</v>
      </c>
    </row>
    <row r="16">
      <c r="A16" s="34" t="s">
        <v>922</v>
      </c>
      <c r="B16" s="34" t="s">
        <v>916</v>
      </c>
      <c r="C16" s="34" t="s">
        <v>262</v>
      </c>
      <c r="D16" s="34" t="s">
        <v>918</v>
      </c>
      <c r="E16" s="34" t="s">
        <v>919</v>
      </c>
      <c r="F16" s="34" t="s">
        <v>923</v>
      </c>
      <c r="G16" s="34" t="s">
        <v>924</v>
      </c>
    </row>
    <row r="17">
      <c r="A17" s="34" t="s">
        <v>925</v>
      </c>
      <c r="B17" s="34" t="s">
        <v>392</v>
      </c>
      <c r="C17" s="34" t="s">
        <v>401</v>
      </c>
      <c r="D17" s="34" t="s">
        <v>926</v>
      </c>
      <c r="E17" s="34" t="s">
        <v>919</v>
      </c>
      <c r="F17" s="34" t="s">
        <v>927</v>
      </c>
      <c r="G17" s="34" t="s">
        <v>928</v>
      </c>
    </row>
    <row r="18">
      <c r="A18" s="34" t="s">
        <v>925</v>
      </c>
      <c r="B18" s="34" t="s">
        <v>403</v>
      </c>
      <c r="C18" s="34" t="s">
        <v>408</v>
      </c>
      <c r="D18" s="34" t="s">
        <v>926</v>
      </c>
      <c r="E18" s="34" t="s">
        <v>919</v>
      </c>
      <c r="F18" s="34" t="s">
        <v>929</v>
      </c>
      <c r="G18" s="34" t="s">
        <v>930</v>
      </c>
    </row>
    <row r="19">
      <c r="A19" s="34" t="s">
        <v>925</v>
      </c>
      <c r="B19" s="34" t="s">
        <v>410</v>
      </c>
      <c r="C19" s="34" t="s">
        <v>417</v>
      </c>
      <c r="D19" s="34" t="s">
        <v>926</v>
      </c>
      <c r="E19" s="34" t="s">
        <v>919</v>
      </c>
      <c r="F19" s="34" t="s">
        <v>931</v>
      </c>
      <c r="G19" s="34" t="s">
        <v>932</v>
      </c>
    </row>
    <row r="20">
      <c r="A20" s="34" t="s">
        <v>925</v>
      </c>
      <c r="B20" s="34" t="s">
        <v>248</v>
      </c>
      <c r="C20" s="34" t="s">
        <v>261</v>
      </c>
      <c r="D20" s="34" t="s">
        <v>926</v>
      </c>
      <c r="E20" s="34" t="s">
        <v>919</v>
      </c>
      <c r="F20" s="34" t="s">
        <v>933</v>
      </c>
      <c r="G20" s="34" t="s">
        <v>934</v>
      </c>
    </row>
    <row r="21" ht="15.75" customHeight="1">
      <c r="A21" s="34" t="s">
        <v>925</v>
      </c>
      <c r="B21" s="34" t="s">
        <v>935</v>
      </c>
      <c r="C21" s="34" t="s">
        <v>430</v>
      </c>
      <c r="D21" s="34" t="s">
        <v>926</v>
      </c>
      <c r="E21" s="34" t="s">
        <v>919</v>
      </c>
      <c r="F21" s="34" t="s">
        <v>936</v>
      </c>
      <c r="G21" s="34" t="s">
        <v>937</v>
      </c>
    </row>
    <row r="22" ht="15.75" customHeight="1">
      <c r="A22" s="34" t="s">
        <v>925</v>
      </c>
      <c r="B22" s="34" t="s">
        <v>935</v>
      </c>
      <c r="C22" s="34" t="s">
        <v>438</v>
      </c>
      <c r="D22" s="34" t="s">
        <v>926</v>
      </c>
      <c r="E22" s="34" t="s">
        <v>919</v>
      </c>
      <c r="F22" s="34" t="s">
        <v>938</v>
      </c>
      <c r="G22" s="34" t="s">
        <v>937</v>
      </c>
    </row>
    <row r="23" ht="15.75" customHeight="1">
      <c r="A23" s="34" t="s">
        <v>925</v>
      </c>
      <c r="B23" s="34" t="s">
        <v>935</v>
      </c>
      <c r="C23" s="34" t="s">
        <v>445</v>
      </c>
      <c r="D23" s="34" t="s">
        <v>926</v>
      </c>
      <c r="E23" s="34" t="s">
        <v>919</v>
      </c>
      <c r="F23" s="34" t="s">
        <v>939</v>
      </c>
      <c r="G23" s="34" t="s">
        <v>940</v>
      </c>
    </row>
    <row r="24" ht="15.75" customHeight="1">
      <c r="A24" s="34" t="s">
        <v>941</v>
      </c>
      <c r="B24" s="34" t="s">
        <v>942</v>
      </c>
      <c r="C24" s="34" t="s">
        <v>263</v>
      </c>
      <c r="D24" s="34" t="s">
        <v>943</v>
      </c>
      <c r="E24" s="34" t="s">
        <v>919</v>
      </c>
      <c r="F24" s="34" t="s">
        <v>944</v>
      </c>
      <c r="G24" s="34" t="s">
        <v>945</v>
      </c>
    </row>
    <row r="25" ht="15.75" customHeight="1">
      <c r="A25" s="34" t="s">
        <v>941</v>
      </c>
      <c r="B25" s="34" t="s">
        <v>946</v>
      </c>
      <c r="C25" s="34" t="s">
        <v>516</v>
      </c>
      <c r="D25" s="34" t="s">
        <v>947</v>
      </c>
      <c r="E25" s="34" t="s">
        <v>919</v>
      </c>
      <c r="F25" s="34" t="s">
        <v>948</v>
      </c>
      <c r="G25" s="34" t="s">
        <v>949</v>
      </c>
    </row>
    <row r="26" ht="15.75" customHeight="1">
      <c r="A26" s="34" t="s">
        <v>950</v>
      </c>
      <c r="B26" s="34" t="s">
        <v>268</v>
      </c>
      <c r="C26" s="34" t="s">
        <v>280</v>
      </c>
      <c r="D26" s="34" t="s">
        <v>645</v>
      </c>
      <c r="E26" s="34" t="s">
        <v>919</v>
      </c>
      <c r="F26" s="34" t="s">
        <v>951</v>
      </c>
      <c r="G26" s="34" t="s">
        <v>952</v>
      </c>
    </row>
    <row r="27" ht="15.75" customHeight="1">
      <c r="A27" s="34" t="s">
        <v>953</v>
      </c>
      <c r="B27" s="34" t="s">
        <v>954</v>
      </c>
      <c r="C27" s="34" t="s">
        <v>279</v>
      </c>
      <c r="D27" s="34" t="s">
        <v>918</v>
      </c>
      <c r="E27" s="34" t="s">
        <v>919</v>
      </c>
      <c r="F27" s="34" t="s">
        <v>955</v>
      </c>
      <c r="G27" s="34" t="s">
        <v>956</v>
      </c>
    </row>
    <row r="28" ht="15.75" customHeight="1">
      <c r="A28" s="34" t="s">
        <v>957</v>
      </c>
      <c r="B28" s="34" t="s">
        <v>958</v>
      </c>
      <c r="C28" s="34" t="s">
        <v>959</v>
      </c>
      <c r="D28" s="34" t="s">
        <v>960</v>
      </c>
      <c r="E28" s="34" t="s">
        <v>919</v>
      </c>
      <c r="F28" s="34" t="s">
        <v>961</v>
      </c>
      <c r="G28" s="34" t="s">
        <v>962</v>
      </c>
    </row>
    <row r="29" ht="15.75" customHeight="1">
      <c r="A29" s="34" t="s">
        <v>963</v>
      </c>
      <c r="B29" s="34" t="s">
        <v>964</v>
      </c>
      <c r="C29" s="34" t="s">
        <v>965</v>
      </c>
      <c r="D29" s="34" t="s">
        <v>966</v>
      </c>
      <c r="E29" s="34" t="s">
        <v>919</v>
      </c>
      <c r="F29" s="34" t="s">
        <v>967</v>
      </c>
      <c r="G29" s="34" t="s">
        <v>968</v>
      </c>
    </row>
    <row r="30" ht="15.75" customHeight="1"/>
    <row r="31" ht="15.75" customHeight="1"/>
    <row r="32" ht="37.5" customHeight="1">
      <c r="A32" s="59" t="s">
        <v>969</v>
      </c>
      <c r="B32" s="59" t="s">
        <v>911</v>
      </c>
      <c r="C32" s="59" t="s">
        <v>912</v>
      </c>
      <c r="D32" s="59" t="s">
        <v>464</v>
      </c>
      <c r="E32" s="59" t="s">
        <v>913</v>
      </c>
      <c r="F32" s="59" t="s">
        <v>914</v>
      </c>
      <c r="G32" s="59" t="s">
        <v>391</v>
      </c>
    </row>
    <row r="33" ht="15.75" customHeight="1">
      <c r="A33" s="34" t="s">
        <v>915</v>
      </c>
      <c r="B33" s="34" t="s">
        <v>555</v>
      </c>
      <c r="C33" s="34" t="s">
        <v>970</v>
      </c>
      <c r="D33" s="34" t="s">
        <v>918</v>
      </c>
      <c r="E33" s="34" t="s">
        <v>919</v>
      </c>
      <c r="F33" s="34" t="s">
        <v>971</v>
      </c>
      <c r="G33" s="34" t="s">
        <v>972</v>
      </c>
    </row>
    <row r="34" ht="15.75" customHeight="1">
      <c r="A34" s="34" t="s">
        <v>973</v>
      </c>
      <c r="B34" s="34" t="s">
        <v>556</v>
      </c>
      <c r="C34" s="34" t="s">
        <v>851</v>
      </c>
      <c r="D34" s="34" t="s">
        <v>645</v>
      </c>
      <c r="E34" s="34" t="s">
        <v>919</v>
      </c>
      <c r="F34" s="34" t="s">
        <v>974</v>
      </c>
      <c r="G34" s="34" t="s">
        <v>975</v>
      </c>
    </row>
    <row r="35" ht="15.75" customHeight="1">
      <c r="A35" s="34" t="s">
        <v>976</v>
      </c>
      <c r="B35" s="34" t="s">
        <v>556</v>
      </c>
      <c r="C35" s="34" t="s">
        <v>560</v>
      </c>
      <c r="D35" s="34" t="s">
        <v>977</v>
      </c>
      <c r="E35" s="34" t="s">
        <v>919</v>
      </c>
      <c r="F35" s="34" t="s">
        <v>978</v>
      </c>
      <c r="G35" s="34" t="s">
        <v>979</v>
      </c>
    </row>
    <row r="36" ht="15.75" customHeight="1">
      <c r="A36" s="34" t="s">
        <v>973</v>
      </c>
      <c r="B36" s="34" t="s">
        <v>565</v>
      </c>
      <c r="C36" s="34" t="s">
        <v>853</v>
      </c>
      <c r="D36" s="34" t="s">
        <v>645</v>
      </c>
      <c r="E36" s="34" t="s">
        <v>919</v>
      </c>
      <c r="F36" s="34" t="s">
        <v>980</v>
      </c>
      <c r="G36" s="34" t="s">
        <v>981</v>
      </c>
    </row>
    <row r="37" ht="15.75" customHeight="1">
      <c r="A37" s="34" t="s">
        <v>982</v>
      </c>
      <c r="B37" s="34" t="s">
        <v>565</v>
      </c>
      <c r="C37" s="34" t="s">
        <v>569</v>
      </c>
      <c r="D37" s="34" t="s">
        <v>977</v>
      </c>
      <c r="E37" s="34" t="s">
        <v>919</v>
      </c>
      <c r="F37" s="34" t="s">
        <v>983</v>
      </c>
      <c r="G37" s="34" t="s">
        <v>984</v>
      </c>
    </row>
    <row r="38" ht="15.75" customHeight="1">
      <c r="A38" s="34" t="s">
        <v>973</v>
      </c>
      <c r="B38" s="34" t="s">
        <v>581</v>
      </c>
      <c r="C38" s="34" t="s">
        <v>854</v>
      </c>
      <c r="D38" s="34" t="s">
        <v>645</v>
      </c>
      <c r="E38" s="34" t="s">
        <v>919</v>
      </c>
      <c r="F38" s="34" t="s">
        <v>985</v>
      </c>
      <c r="G38" s="34" t="s">
        <v>986</v>
      </c>
    </row>
    <row r="39" ht="15.75" customHeight="1">
      <c r="A39" s="34" t="s">
        <v>973</v>
      </c>
      <c r="B39" s="34" t="s">
        <v>587</v>
      </c>
      <c r="C39" s="34" t="s">
        <v>857</v>
      </c>
      <c r="D39" s="34" t="s">
        <v>645</v>
      </c>
      <c r="E39" s="34" t="s">
        <v>919</v>
      </c>
      <c r="F39" s="34" t="s">
        <v>987</v>
      </c>
      <c r="G39" s="34" t="s">
        <v>988</v>
      </c>
    </row>
    <row r="40" ht="15.75" customHeight="1">
      <c r="A40" s="34" t="s">
        <v>989</v>
      </c>
      <c r="B40" s="34" t="s">
        <v>587</v>
      </c>
      <c r="C40" s="34" t="s">
        <v>593</v>
      </c>
      <c r="D40" s="34" t="s">
        <v>977</v>
      </c>
      <c r="E40" s="34" t="s">
        <v>919</v>
      </c>
      <c r="F40" s="34" t="s">
        <v>990</v>
      </c>
      <c r="G40" s="34" t="s">
        <v>991</v>
      </c>
    </row>
    <row r="41" ht="15.75" customHeight="1">
      <c r="A41" s="34" t="s">
        <v>992</v>
      </c>
      <c r="B41" s="34" t="s">
        <v>599</v>
      </c>
      <c r="C41" s="34" t="s">
        <v>993</v>
      </c>
      <c r="D41" s="34" t="s">
        <v>645</v>
      </c>
      <c r="E41" s="34" t="s">
        <v>919</v>
      </c>
      <c r="F41" s="34" t="s">
        <v>994</v>
      </c>
      <c r="G41" s="34" t="s">
        <v>995</v>
      </c>
    </row>
    <row r="42" ht="15.75" customHeight="1">
      <c r="A42" s="34" t="s">
        <v>996</v>
      </c>
      <c r="B42" s="34" t="s">
        <v>599</v>
      </c>
      <c r="C42" s="34" t="s">
        <v>600</v>
      </c>
      <c r="D42" s="34" t="s">
        <v>977</v>
      </c>
      <c r="E42" s="34" t="s">
        <v>919</v>
      </c>
      <c r="F42" s="34" t="s">
        <v>997</v>
      </c>
      <c r="G42" s="34" t="s">
        <v>998</v>
      </c>
    </row>
    <row r="43" ht="15.75" customHeight="1">
      <c r="A43" s="34" t="s">
        <v>999</v>
      </c>
      <c r="B43" s="34" t="s">
        <v>287</v>
      </c>
      <c r="C43" s="34" t="s">
        <v>1000</v>
      </c>
      <c r="D43" s="34" t="s">
        <v>1001</v>
      </c>
      <c r="E43" s="34" t="s">
        <v>919</v>
      </c>
      <c r="F43" s="34" t="s">
        <v>1002</v>
      </c>
      <c r="G43" s="34" t="s">
        <v>1003</v>
      </c>
    </row>
    <row r="44" ht="15.75" customHeight="1">
      <c r="A44" s="34" t="s">
        <v>1004</v>
      </c>
      <c r="B44" s="34" t="s">
        <v>1005</v>
      </c>
      <c r="C44" s="34" t="s">
        <v>299</v>
      </c>
      <c r="D44" s="34" t="s">
        <v>1006</v>
      </c>
      <c r="E44" s="34" t="s">
        <v>919</v>
      </c>
      <c r="F44" s="34" t="s">
        <v>1007</v>
      </c>
      <c r="G44" s="34" t="s">
        <v>1008</v>
      </c>
    </row>
    <row r="45" ht="15.75" customHeight="1">
      <c r="A45" s="34" t="s">
        <v>1004</v>
      </c>
      <c r="B45" s="34" t="s">
        <v>1009</v>
      </c>
      <c r="C45" s="34" t="s">
        <v>312</v>
      </c>
      <c r="D45" s="34" t="s">
        <v>1006</v>
      </c>
      <c r="E45" s="34" t="s">
        <v>919</v>
      </c>
      <c r="F45" s="34" t="s">
        <v>1010</v>
      </c>
      <c r="G45" s="34" t="s">
        <v>1011</v>
      </c>
    </row>
    <row r="46" ht="15.75" customHeight="1">
      <c r="A46" s="34" t="s">
        <v>1004</v>
      </c>
      <c r="B46" s="34" t="s">
        <v>1012</v>
      </c>
      <c r="C46" s="34" t="s">
        <v>323</v>
      </c>
      <c r="D46" s="34" t="s">
        <v>1006</v>
      </c>
      <c r="E46" s="34" t="s">
        <v>919</v>
      </c>
      <c r="F46" s="34" t="s">
        <v>1013</v>
      </c>
      <c r="G46" s="34" t="s">
        <v>1014</v>
      </c>
    </row>
    <row r="47" ht="15.75" customHeight="1">
      <c r="A47" s="34" t="s">
        <v>1004</v>
      </c>
      <c r="B47" s="34" t="s">
        <v>327</v>
      </c>
      <c r="C47" s="34" t="s">
        <v>337</v>
      </c>
      <c r="D47" s="34" t="s">
        <v>1006</v>
      </c>
      <c r="E47" s="34" t="s">
        <v>919</v>
      </c>
      <c r="F47" s="34" t="s">
        <v>1015</v>
      </c>
      <c r="G47" s="34" t="s">
        <v>1016</v>
      </c>
    </row>
    <row r="48" ht="15.75" customHeight="1"/>
    <row r="49" ht="15.75" customHeight="1"/>
    <row r="50" ht="39.75" customHeight="1">
      <c r="A50" s="59" t="s">
        <v>1017</v>
      </c>
      <c r="B50" s="59" t="s">
        <v>911</v>
      </c>
      <c r="C50" s="59" t="s">
        <v>912</v>
      </c>
      <c r="D50" s="59" t="s">
        <v>464</v>
      </c>
      <c r="E50" s="59" t="s">
        <v>913</v>
      </c>
      <c r="F50" s="59" t="s">
        <v>914</v>
      </c>
      <c r="G50" s="59" t="s">
        <v>391</v>
      </c>
    </row>
    <row r="51" ht="15.75" customHeight="1">
      <c r="A51" s="34" t="s">
        <v>1018</v>
      </c>
      <c r="B51" s="34" t="s">
        <v>1019</v>
      </c>
      <c r="C51" s="34" t="s">
        <v>1020</v>
      </c>
      <c r="D51" s="34" t="s">
        <v>1021</v>
      </c>
      <c r="E51" s="34" t="s">
        <v>919</v>
      </c>
      <c r="F51" s="34" t="s">
        <v>1022</v>
      </c>
      <c r="G51" s="34" t="s">
        <v>1023</v>
      </c>
    </row>
    <row r="52" ht="15.75" customHeight="1">
      <c r="A52" s="34" t="s">
        <v>973</v>
      </c>
      <c r="B52" s="34" t="s">
        <v>661</v>
      </c>
      <c r="C52" s="34" t="s">
        <v>859</v>
      </c>
      <c r="D52" s="34" t="s">
        <v>645</v>
      </c>
      <c r="E52" s="34" t="s">
        <v>919</v>
      </c>
      <c r="F52" s="34" t="s">
        <v>1024</v>
      </c>
      <c r="G52" s="34" t="s">
        <v>1025</v>
      </c>
    </row>
    <row r="53" ht="15.75" customHeight="1">
      <c r="A53" s="34" t="s">
        <v>973</v>
      </c>
      <c r="B53" s="34" t="s">
        <v>688</v>
      </c>
      <c r="C53" s="34" t="s">
        <v>860</v>
      </c>
      <c r="D53" s="34" t="s">
        <v>645</v>
      </c>
      <c r="E53" s="34" t="s">
        <v>919</v>
      </c>
      <c r="F53" s="34" t="s">
        <v>1026</v>
      </c>
      <c r="G53" s="34"/>
    </row>
    <row r="54" ht="15.75" customHeight="1">
      <c r="A54" s="34" t="s">
        <v>973</v>
      </c>
      <c r="B54" s="34" t="s">
        <v>689</v>
      </c>
      <c r="C54" s="34" t="s">
        <v>861</v>
      </c>
      <c r="D54" s="34" t="s">
        <v>645</v>
      </c>
      <c r="E54" s="34" t="s">
        <v>919</v>
      </c>
      <c r="F54" s="34" t="s">
        <v>1027</v>
      </c>
      <c r="G54" s="34"/>
    </row>
    <row r="55" ht="15.75" customHeight="1">
      <c r="A55" s="34" t="s">
        <v>1028</v>
      </c>
      <c r="B55" s="34" t="s">
        <v>1029</v>
      </c>
      <c r="C55" s="34" t="s">
        <v>666</v>
      </c>
      <c r="D55" s="34" t="s">
        <v>1030</v>
      </c>
      <c r="E55" s="34" t="s">
        <v>919</v>
      </c>
      <c r="F55" s="34" t="s">
        <v>1031</v>
      </c>
      <c r="G55" s="34" t="s">
        <v>1032</v>
      </c>
    </row>
    <row r="56" ht="15.75" customHeight="1">
      <c r="A56" s="34" t="s">
        <v>1033</v>
      </c>
      <c r="B56" s="34" t="s">
        <v>341</v>
      </c>
      <c r="C56" s="34" t="s">
        <v>352</v>
      </c>
      <c r="D56" s="34" t="s">
        <v>1034</v>
      </c>
      <c r="E56" s="34" t="s">
        <v>919</v>
      </c>
      <c r="F56" s="34" t="s">
        <v>1035</v>
      </c>
      <c r="G56" s="34" t="s">
        <v>1036</v>
      </c>
    </row>
    <row r="57" ht="15.75" customHeight="1">
      <c r="A57" s="34" t="s">
        <v>1004</v>
      </c>
      <c r="B57" s="34" t="s">
        <v>341</v>
      </c>
      <c r="C57" s="34" t="s">
        <v>353</v>
      </c>
      <c r="D57" s="34" t="s">
        <v>645</v>
      </c>
      <c r="E57" s="34" t="s">
        <v>919</v>
      </c>
      <c r="F57" s="34" t="s">
        <v>1037</v>
      </c>
      <c r="G57" s="34" t="s">
        <v>1038</v>
      </c>
    </row>
    <row r="58" ht="15.75" customHeight="1">
      <c r="A58" s="34" t="s">
        <v>973</v>
      </c>
      <c r="B58" s="34" t="s">
        <v>357</v>
      </c>
      <c r="C58" s="34" t="s">
        <v>369</v>
      </c>
      <c r="D58" s="34" t="s">
        <v>1039</v>
      </c>
      <c r="E58" s="34" t="s">
        <v>919</v>
      </c>
      <c r="F58" s="34" t="s">
        <v>1040</v>
      </c>
      <c r="G58" s="34" t="s">
        <v>1041</v>
      </c>
    </row>
    <row r="59" ht="15.75" customHeight="1">
      <c r="A59" s="34" t="s">
        <v>1042</v>
      </c>
      <c r="B59" s="34" t="s">
        <v>357</v>
      </c>
      <c r="C59" s="34" t="s">
        <v>370</v>
      </c>
      <c r="D59" s="34" t="s">
        <v>977</v>
      </c>
      <c r="E59" s="34" t="s">
        <v>919</v>
      </c>
      <c r="F59" s="34" t="s">
        <v>1043</v>
      </c>
      <c r="G59" s="34" t="s">
        <v>1044</v>
      </c>
    </row>
    <row r="60" ht="15.75" customHeight="1"/>
    <row r="61" ht="15.75" customHeight="1"/>
    <row r="62" ht="15.75" customHeight="1">
      <c r="A62" s="6" t="s">
        <v>1045</v>
      </c>
      <c r="B62" s="6" t="s">
        <v>1046</v>
      </c>
      <c r="C62" s="6" t="s">
        <v>1047</v>
      </c>
      <c r="D62" s="6" t="s">
        <v>1048</v>
      </c>
      <c r="E62" s="6" t="s">
        <v>870</v>
      </c>
      <c r="F62" s="6" t="s">
        <v>1049</v>
      </c>
      <c r="G62" s="6" t="s">
        <v>8</v>
      </c>
    </row>
    <row r="63" ht="15.75" customHeight="1">
      <c r="A63" s="42" t="s">
        <v>1050</v>
      </c>
      <c r="B63" s="42" t="s">
        <v>1051</v>
      </c>
      <c r="C63" s="42" t="s">
        <v>1052</v>
      </c>
      <c r="D63" s="42" t="s">
        <v>1053</v>
      </c>
      <c r="E63" s="42"/>
      <c r="F63" s="42" t="s">
        <v>1054</v>
      </c>
      <c r="G63" s="42" t="s">
        <v>885</v>
      </c>
    </row>
    <row r="64" ht="15.75" customHeight="1">
      <c r="A64" s="42" t="s">
        <v>1055</v>
      </c>
      <c r="B64" s="42" t="s">
        <v>1056</v>
      </c>
      <c r="C64" s="42" t="s">
        <v>1057</v>
      </c>
      <c r="D64" s="42" t="s">
        <v>1058</v>
      </c>
      <c r="E64" s="42" t="s">
        <v>1059</v>
      </c>
      <c r="F64" s="42" t="s">
        <v>1060</v>
      </c>
      <c r="G64" s="42" t="s">
        <v>885</v>
      </c>
    </row>
    <row r="65" ht="15.75" customHeight="1">
      <c r="A65" s="42" t="s">
        <v>1061</v>
      </c>
      <c r="B65" s="42" t="s">
        <v>1062</v>
      </c>
      <c r="C65" s="42" t="s">
        <v>1063</v>
      </c>
      <c r="D65" s="42" t="s">
        <v>1064</v>
      </c>
      <c r="E65" s="42" t="s">
        <v>1065</v>
      </c>
      <c r="F65" s="42" t="s">
        <v>1066</v>
      </c>
      <c r="G65" s="42" t="s">
        <v>885</v>
      </c>
    </row>
    <row r="66" ht="15.75" customHeight="1">
      <c r="A66" s="42" t="s">
        <v>1067</v>
      </c>
      <c r="B66" s="42" t="s">
        <v>1068</v>
      </c>
      <c r="C66" s="42" t="s">
        <v>1069</v>
      </c>
      <c r="D66" s="42" t="s">
        <v>1070</v>
      </c>
      <c r="E66" s="42" t="s">
        <v>1065</v>
      </c>
      <c r="F66" s="42" t="s">
        <v>1071</v>
      </c>
      <c r="G66" s="42" t="s">
        <v>885</v>
      </c>
    </row>
    <row r="67" ht="15.75" customHeight="1">
      <c r="A67" s="42" t="s">
        <v>1072</v>
      </c>
      <c r="B67" s="42" t="s">
        <v>1073</v>
      </c>
      <c r="C67" s="42" t="s">
        <v>1074</v>
      </c>
      <c r="D67" s="42" t="s">
        <v>1070</v>
      </c>
      <c r="E67" s="42" t="s">
        <v>1065</v>
      </c>
      <c r="F67" s="42" t="s">
        <v>1071</v>
      </c>
      <c r="G67" s="42" t="s">
        <v>885</v>
      </c>
    </row>
    <row r="68" ht="15.75" customHeight="1">
      <c r="A68" s="42" t="s">
        <v>1075</v>
      </c>
      <c r="B68" s="42" t="s">
        <v>1076</v>
      </c>
      <c r="C68" s="42" t="s">
        <v>1077</v>
      </c>
      <c r="D68" s="42" t="s">
        <v>1070</v>
      </c>
      <c r="E68" s="42" t="s">
        <v>1065</v>
      </c>
      <c r="F68" s="42" t="s">
        <v>1071</v>
      </c>
      <c r="G68" s="42" t="s">
        <v>885</v>
      </c>
    </row>
    <row r="69" ht="15.75" customHeight="1">
      <c r="A69" s="42" t="s">
        <v>1078</v>
      </c>
      <c r="B69" s="42" t="s">
        <v>1079</v>
      </c>
      <c r="C69" s="42" t="s">
        <v>1080</v>
      </c>
      <c r="D69" s="42" t="s">
        <v>1081</v>
      </c>
      <c r="E69" s="42" t="s">
        <v>1082</v>
      </c>
      <c r="F69" s="42" t="s">
        <v>1083</v>
      </c>
      <c r="G69" s="42" t="s">
        <v>885</v>
      </c>
    </row>
    <row r="70" ht="15.75" customHeight="1">
      <c r="A70" s="42" t="s">
        <v>1084</v>
      </c>
      <c r="B70" s="42" t="s">
        <v>1085</v>
      </c>
      <c r="C70" s="42" t="s">
        <v>1086</v>
      </c>
      <c r="D70" s="42" t="s">
        <v>1087</v>
      </c>
      <c r="E70" s="42" t="s">
        <v>86</v>
      </c>
      <c r="F70" s="42" t="s">
        <v>1088</v>
      </c>
      <c r="G70" s="42" t="s">
        <v>885</v>
      </c>
    </row>
    <row r="71" ht="15.75" customHeight="1">
      <c r="A71" s="42" t="s">
        <v>1089</v>
      </c>
      <c r="B71" s="42" t="s">
        <v>1090</v>
      </c>
      <c r="C71" s="42" t="s">
        <v>1091</v>
      </c>
      <c r="D71" s="42" t="s">
        <v>1092</v>
      </c>
      <c r="E71" s="42" t="s">
        <v>1093</v>
      </c>
      <c r="F71" s="42" t="s">
        <v>1094</v>
      </c>
      <c r="G71" s="42" t="s">
        <v>885</v>
      </c>
    </row>
    <row r="72" ht="15.75" customHeight="1">
      <c r="A72" s="42" t="s">
        <v>377</v>
      </c>
      <c r="B72" s="42" t="s">
        <v>1095</v>
      </c>
      <c r="C72" s="42" t="s">
        <v>1096</v>
      </c>
      <c r="D72" s="42" t="s">
        <v>1097</v>
      </c>
      <c r="E72" s="42"/>
      <c r="F72" s="42" t="s">
        <v>1098</v>
      </c>
      <c r="G72" s="42" t="s">
        <v>885</v>
      </c>
    </row>
    <row r="73" ht="15.75" customHeight="1"/>
    <row r="74" ht="15.75" customHeight="1"/>
    <row r="75" ht="15.75" customHeight="1">
      <c r="A75" s="6" t="s">
        <v>1099</v>
      </c>
      <c r="B75" s="6" t="s">
        <v>911</v>
      </c>
      <c r="C75" s="6" t="s">
        <v>912</v>
      </c>
      <c r="D75" s="6" t="s">
        <v>464</v>
      </c>
      <c r="E75" s="6" t="s">
        <v>913</v>
      </c>
      <c r="F75" s="6" t="s">
        <v>914</v>
      </c>
      <c r="G75" s="6" t="s">
        <v>391</v>
      </c>
    </row>
    <row r="76" ht="15.75" customHeight="1">
      <c r="A76" s="42" t="s">
        <v>1100</v>
      </c>
      <c r="B76" s="42" t="s">
        <v>1101</v>
      </c>
      <c r="C76" s="42" t="s">
        <v>94</v>
      </c>
      <c r="D76" s="42" t="s">
        <v>1102</v>
      </c>
      <c r="E76" s="42" t="s">
        <v>919</v>
      </c>
      <c r="F76" s="42" t="s">
        <v>1103</v>
      </c>
      <c r="G76" s="42" t="s">
        <v>1104</v>
      </c>
    </row>
    <row r="77" ht="15.75" customHeight="1">
      <c r="A77" s="42" t="s">
        <v>1105</v>
      </c>
      <c r="B77" s="42" t="s">
        <v>78</v>
      </c>
      <c r="C77" s="42" t="s">
        <v>1106</v>
      </c>
      <c r="D77" s="42" t="s">
        <v>1102</v>
      </c>
      <c r="E77" s="42" t="s">
        <v>919</v>
      </c>
      <c r="F77" s="42" t="s">
        <v>1107</v>
      </c>
      <c r="G77" s="42" t="s">
        <v>1104</v>
      </c>
    </row>
    <row r="78" ht="15.75" customHeight="1">
      <c r="A78" s="42" t="s">
        <v>1108</v>
      </c>
      <c r="B78" s="42" t="s">
        <v>114</v>
      </c>
      <c r="C78" s="42" t="s">
        <v>127</v>
      </c>
      <c r="D78" s="42" t="s">
        <v>1102</v>
      </c>
      <c r="E78" s="42" t="s">
        <v>919</v>
      </c>
      <c r="F78" s="42" t="s">
        <v>1109</v>
      </c>
      <c r="G78" s="42" t="s">
        <v>1104</v>
      </c>
    </row>
    <row r="79" ht="15.75" customHeight="1">
      <c r="A79" s="42" t="s">
        <v>1110</v>
      </c>
      <c r="B79" s="42" t="s">
        <v>787</v>
      </c>
      <c r="C79" s="42" t="s">
        <v>811</v>
      </c>
      <c r="D79" s="42" t="s">
        <v>1102</v>
      </c>
      <c r="E79" s="42" t="s">
        <v>919</v>
      </c>
      <c r="F79" s="42" t="s">
        <v>1111</v>
      </c>
      <c r="G79" s="42" t="s">
        <v>1104</v>
      </c>
    </row>
    <row r="80" ht="15.75" customHeight="1">
      <c r="A80" s="42" t="s">
        <v>1110</v>
      </c>
      <c r="B80" s="42" t="s">
        <v>232</v>
      </c>
      <c r="C80" s="42" t="s">
        <v>244</v>
      </c>
      <c r="D80" s="42" t="s">
        <v>1102</v>
      </c>
      <c r="E80" s="42" t="s">
        <v>919</v>
      </c>
      <c r="F80" s="42" t="s">
        <v>1112</v>
      </c>
      <c r="G80" s="42" t="s">
        <v>1104</v>
      </c>
    </row>
    <row r="81" ht="15.75" customHeight="1">
      <c r="A81" s="42" t="s">
        <v>922</v>
      </c>
      <c r="B81" s="42" t="s">
        <v>916</v>
      </c>
      <c r="C81" s="42" t="s">
        <v>262</v>
      </c>
      <c r="D81" s="42" t="s">
        <v>1102</v>
      </c>
      <c r="E81" s="42" t="s">
        <v>919</v>
      </c>
      <c r="F81" s="42" t="s">
        <v>1113</v>
      </c>
      <c r="G81" s="42" t="s">
        <v>1104</v>
      </c>
    </row>
    <row r="82" ht="15.75" customHeight="1">
      <c r="A82" s="42" t="s">
        <v>922</v>
      </c>
      <c r="B82" s="42" t="s">
        <v>1114</v>
      </c>
      <c r="C82" s="42" t="s">
        <v>817</v>
      </c>
      <c r="D82" s="42" t="s">
        <v>1102</v>
      </c>
      <c r="E82" s="42" t="s">
        <v>919</v>
      </c>
      <c r="F82" s="42" t="s">
        <v>1115</v>
      </c>
      <c r="G82" s="42" t="s">
        <v>1104</v>
      </c>
    </row>
    <row r="83" ht="15.75" customHeight="1">
      <c r="A83" s="42" t="s">
        <v>1116</v>
      </c>
      <c r="B83" s="42" t="s">
        <v>1117</v>
      </c>
      <c r="C83" s="42" t="s">
        <v>1118</v>
      </c>
      <c r="D83" s="42" t="s">
        <v>1119</v>
      </c>
      <c r="E83" s="42" t="s">
        <v>919</v>
      </c>
      <c r="F83" s="42" t="s">
        <v>1120</v>
      </c>
      <c r="G83" s="42" t="s">
        <v>1121</v>
      </c>
    </row>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G1"/>
    <mergeCell ref="A2:G2"/>
  </mergeCells>
  <printOptions/>
  <pageMargins bottom="0.75" footer="0.0" header="0.0" left="0.7" right="0.7" top="0.75"/>
  <pageSetup orientation="landscape"/>
  <drawing r:id="rId1"/>
  <tableParts count="4">
    <tablePart r:id="rId6"/>
    <tablePart r:id="rId7"/>
    <tablePart r:id="rId8"/>
    <tablePart r:id="rId9"/>
  </tableParts>
</worksheet>
</file>

<file path=xl/worksheets/sheet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0.1" defaultRowHeight="15.0"/>
  <cols>
    <col customWidth="1" min="1" max="1" width="24.0"/>
    <col customWidth="1" min="2" max="2" width="22.4"/>
    <col customWidth="1" min="3" max="3" width="14.4"/>
    <col customWidth="1" min="4" max="4" width="22.4"/>
    <col customWidth="1" min="5" max="5" width="14.4"/>
    <col customWidth="1" min="6" max="6" width="22.4"/>
    <col customWidth="1" min="7" max="7" width="14.4"/>
    <col customWidth="1" min="8" max="8" width="46.4"/>
    <col customWidth="1" min="9" max="9" width="22.4"/>
    <col customWidth="1" min="10" max="10" width="6.9"/>
    <col customWidth="1" min="11" max="11" width="12.8"/>
    <col customWidth="1" min="12" max="12" width="22.4"/>
    <col customWidth="1" min="13" max="13" width="12.8"/>
    <col customWidth="1" min="14" max="14" width="11.2"/>
    <col customWidth="1" min="15" max="15" width="22.4"/>
    <col customWidth="1" min="16" max="18" width="12.8"/>
    <col customWidth="1" min="19" max="26" width="6.9"/>
  </cols>
  <sheetData>
    <row r="1" ht="27.75" customHeight="1">
      <c r="A1" s="1" t="s">
        <v>1122</v>
      </c>
      <c r="I1" s="1"/>
      <c r="J1" s="1"/>
      <c r="K1" s="1"/>
      <c r="L1" s="1"/>
      <c r="M1" s="1"/>
      <c r="N1" s="1"/>
      <c r="O1" s="1"/>
      <c r="P1" s="1"/>
      <c r="Q1" s="1"/>
    </row>
    <row r="2" ht="39.75" customHeight="1">
      <c r="A2" s="2" t="s">
        <v>1123</v>
      </c>
      <c r="I2" s="3"/>
      <c r="J2" s="3"/>
      <c r="K2" s="3"/>
      <c r="L2" s="3"/>
      <c r="M2" s="3"/>
      <c r="N2" s="3"/>
      <c r="O2" s="3"/>
      <c r="P2" s="3"/>
      <c r="Q2" s="3"/>
    </row>
    <row r="3">
      <c r="A3" s="4"/>
      <c r="B3" s="4"/>
      <c r="C3" s="4"/>
      <c r="D3" s="4"/>
      <c r="E3" s="4"/>
      <c r="F3" s="4"/>
      <c r="G3" s="4"/>
      <c r="H3" s="4"/>
    </row>
    <row r="4" ht="37.5" customHeight="1">
      <c r="A4" s="5" t="s">
        <v>1124</v>
      </c>
      <c r="B4" s="5" t="s">
        <v>4</v>
      </c>
      <c r="C4" s="5" t="s">
        <v>460</v>
      </c>
      <c r="D4" s="5" t="s">
        <v>1125</v>
      </c>
      <c r="E4" s="59"/>
      <c r="F4" s="59"/>
      <c r="G4" s="59"/>
      <c r="H4" s="59"/>
      <c r="I4" s="60"/>
      <c r="J4" s="60"/>
      <c r="K4" s="6" t="s">
        <v>57</v>
      </c>
      <c r="L4" s="6" t="s">
        <v>4</v>
      </c>
      <c r="M4" s="6" t="s">
        <v>2</v>
      </c>
      <c r="N4" s="6" t="s">
        <v>1126</v>
      </c>
      <c r="O4" s="6" t="s">
        <v>59</v>
      </c>
      <c r="P4" s="6" t="s">
        <v>1127</v>
      </c>
      <c r="Q4" s="6" t="s">
        <v>61</v>
      </c>
      <c r="R4" s="6" t="s">
        <v>1128</v>
      </c>
    </row>
    <row r="5">
      <c r="A5" s="61" t="s">
        <v>1129</v>
      </c>
      <c r="B5" s="61" t="s">
        <v>1130</v>
      </c>
      <c r="C5" s="62">
        <v>51.0</v>
      </c>
      <c r="D5" s="62" t="s">
        <v>1131</v>
      </c>
      <c r="E5" s="61"/>
      <c r="F5" s="61"/>
      <c r="G5" s="61"/>
      <c r="H5" s="63"/>
      <c r="I5" s="60"/>
      <c r="J5" s="60"/>
      <c r="K5" s="60">
        <v>1.0</v>
      </c>
      <c r="L5" s="60" t="s">
        <v>788</v>
      </c>
      <c r="M5" s="60" t="s">
        <v>787</v>
      </c>
      <c r="N5" s="64">
        <v>99.7</v>
      </c>
      <c r="O5" s="64">
        <v>21.0</v>
      </c>
      <c r="P5" s="64">
        <v>81.75</v>
      </c>
      <c r="Q5" s="64">
        <v>29.0</v>
      </c>
      <c r="R5" s="64">
        <v>70.69</v>
      </c>
    </row>
    <row r="6">
      <c r="A6" s="61" t="s">
        <v>1132</v>
      </c>
      <c r="B6" s="61" t="s">
        <v>1130</v>
      </c>
      <c r="C6" s="62">
        <v>34.0</v>
      </c>
      <c r="D6" s="62" t="s">
        <v>1133</v>
      </c>
      <c r="E6" s="61"/>
      <c r="F6" s="61"/>
      <c r="G6" s="61"/>
      <c r="H6" s="63"/>
      <c r="I6" s="60"/>
      <c r="J6" s="60"/>
      <c r="K6" s="60">
        <v>2.0</v>
      </c>
      <c r="L6" s="60" t="s">
        <v>80</v>
      </c>
      <c r="M6" s="60" t="s">
        <v>78</v>
      </c>
      <c r="N6" s="64">
        <v>99.45</v>
      </c>
      <c r="O6" s="64">
        <v>13.0</v>
      </c>
      <c r="P6" s="64">
        <v>85.3</v>
      </c>
      <c r="Q6" s="64">
        <v>23.0</v>
      </c>
      <c r="R6" s="64">
        <v>76.45</v>
      </c>
    </row>
    <row r="7">
      <c r="A7" s="61" t="s">
        <v>1134</v>
      </c>
      <c r="B7" s="61" t="s">
        <v>1130</v>
      </c>
      <c r="C7" s="62">
        <v>30.0</v>
      </c>
      <c r="D7" s="62" t="s">
        <v>1135</v>
      </c>
      <c r="E7" s="61"/>
      <c r="F7" s="61"/>
      <c r="G7" s="61"/>
      <c r="H7" s="63"/>
      <c r="I7" s="60"/>
      <c r="J7" s="60"/>
      <c r="K7" s="60">
        <v>3.0</v>
      </c>
      <c r="L7" s="60" t="s">
        <v>790</v>
      </c>
      <c r="M7" s="60" t="s">
        <v>787</v>
      </c>
      <c r="N7" s="64">
        <v>98.45</v>
      </c>
      <c r="O7" s="64">
        <v>14.0</v>
      </c>
      <c r="P7" s="64">
        <v>85.1</v>
      </c>
      <c r="Q7" s="64">
        <v>20.0</v>
      </c>
      <c r="R7" s="64">
        <v>76.75</v>
      </c>
    </row>
    <row r="8">
      <c r="A8" s="61" t="s">
        <v>1136</v>
      </c>
      <c r="B8" s="61" t="s">
        <v>788</v>
      </c>
      <c r="C8" s="65">
        <v>99.7</v>
      </c>
      <c r="D8" s="65">
        <v>1.0</v>
      </c>
      <c r="E8" s="61"/>
      <c r="F8" s="61"/>
      <c r="G8" s="61"/>
      <c r="H8" s="63"/>
      <c r="I8" s="60"/>
      <c r="J8" s="60"/>
      <c r="K8" s="60">
        <v>4.0</v>
      </c>
      <c r="L8" s="60" t="s">
        <v>98</v>
      </c>
      <c r="M8" s="60" t="s">
        <v>78</v>
      </c>
      <c r="N8" s="64">
        <v>97.3</v>
      </c>
      <c r="O8" s="64">
        <v>9.0</v>
      </c>
      <c r="P8" s="64">
        <v>88.0</v>
      </c>
      <c r="Q8" s="64">
        <v>15.0</v>
      </c>
      <c r="R8" s="64">
        <v>82.02</v>
      </c>
    </row>
    <row r="9">
      <c r="A9" s="61" t="s">
        <v>1137</v>
      </c>
      <c r="B9" s="61" t="s">
        <v>403</v>
      </c>
      <c r="C9" s="65">
        <v>92.75</v>
      </c>
      <c r="D9" s="65">
        <v>1.0</v>
      </c>
      <c r="E9" s="61"/>
      <c r="F9" s="61"/>
      <c r="G9" s="61"/>
      <c r="H9" s="63"/>
      <c r="I9" s="60"/>
      <c r="J9" s="60"/>
      <c r="K9" s="60">
        <v>5.0</v>
      </c>
      <c r="L9" s="60" t="s">
        <v>792</v>
      </c>
      <c r="M9" s="60" t="s">
        <v>787</v>
      </c>
      <c r="N9" s="64">
        <v>95.9</v>
      </c>
      <c r="O9" s="64">
        <v>4.0</v>
      </c>
      <c r="P9" s="64">
        <v>89.5</v>
      </c>
      <c r="Q9" s="64">
        <v>10.0</v>
      </c>
      <c r="R9" s="64">
        <v>85.39</v>
      </c>
    </row>
    <row r="10">
      <c r="A10" s="61" t="s">
        <v>1138</v>
      </c>
      <c r="B10" s="61" t="s">
        <v>403</v>
      </c>
      <c r="C10" s="65">
        <v>91.17</v>
      </c>
      <c r="D10" s="65">
        <v>1.0</v>
      </c>
      <c r="E10" s="61"/>
      <c r="F10" s="61"/>
      <c r="G10" s="61"/>
      <c r="H10" s="63"/>
      <c r="I10" s="60"/>
      <c r="J10" s="60"/>
      <c r="K10" s="60">
        <v>6.0</v>
      </c>
      <c r="L10" s="60" t="s">
        <v>234</v>
      </c>
      <c r="M10" s="60" t="s">
        <v>232</v>
      </c>
      <c r="N10" s="64">
        <v>95.25</v>
      </c>
      <c r="O10" s="64">
        <v>3.0</v>
      </c>
      <c r="P10" s="64">
        <v>91.15</v>
      </c>
      <c r="Q10" s="64">
        <v>5.0</v>
      </c>
      <c r="R10" s="64">
        <v>88.19</v>
      </c>
    </row>
    <row r="11">
      <c r="A11" s="61"/>
      <c r="B11" s="61"/>
      <c r="C11" s="61"/>
      <c r="D11" s="61"/>
      <c r="E11" s="61"/>
      <c r="F11" s="61"/>
      <c r="G11" s="61"/>
      <c r="H11" s="63"/>
      <c r="I11" s="60"/>
      <c r="J11" s="60"/>
      <c r="K11" s="60">
        <v>7.0</v>
      </c>
      <c r="L11" s="60" t="s">
        <v>403</v>
      </c>
      <c r="M11" s="60" t="s">
        <v>246</v>
      </c>
      <c r="N11" s="64">
        <v>94.85</v>
      </c>
      <c r="O11" s="64">
        <v>1.0</v>
      </c>
      <c r="P11" s="64">
        <v>92.75</v>
      </c>
      <c r="Q11" s="64">
        <v>1.0</v>
      </c>
      <c r="R11" s="64">
        <v>91.17</v>
      </c>
    </row>
    <row r="12">
      <c r="A12" s="61"/>
      <c r="B12" s="61"/>
      <c r="C12" s="61"/>
      <c r="D12" s="61"/>
      <c r="E12" s="61"/>
      <c r="F12" s="61"/>
      <c r="G12" s="61"/>
      <c r="H12" s="63"/>
      <c r="I12" s="60"/>
      <c r="J12" s="60"/>
      <c r="K12" s="60">
        <v>8.0</v>
      </c>
      <c r="L12" s="60" t="s">
        <v>556</v>
      </c>
      <c r="M12" s="60" t="s">
        <v>555</v>
      </c>
      <c r="N12" s="64">
        <v>94.35</v>
      </c>
      <c r="O12" s="64">
        <v>11.0</v>
      </c>
      <c r="P12" s="64">
        <v>86.75</v>
      </c>
      <c r="Q12" s="64">
        <v>17.0</v>
      </c>
      <c r="R12" s="64">
        <v>81.89</v>
      </c>
    </row>
    <row r="13">
      <c r="A13" s="50" t="s">
        <v>1139</v>
      </c>
      <c r="B13" s="50" t="s">
        <v>1140</v>
      </c>
      <c r="C13" s="50" t="s">
        <v>460</v>
      </c>
      <c r="D13" s="50" t="s">
        <v>1141</v>
      </c>
      <c r="E13" s="50" t="s">
        <v>460</v>
      </c>
      <c r="F13" s="50" t="s">
        <v>1142</v>
      </c>
      <c r="G13" s="50" t="s">
        <v>460</v>
      </c>
      <c r="H13" s="50" t="s">
        <v>1143</v>
      </c>
      <c r="I13" s="6" t="s">
        <v>1144</v>
      </c>
      <c r="J13" s="60"/>
      <c r="K13" s="60">
        <v>9.0</v>
      </c>
      <c r="L13" s="60" t="s">
        <v>781</v>
      </c>
      <c r="M13" s="60" t="s">
        <v>78</v>
      </c>
      <c r="N13" s="64">
        <v>93.4</v>
      </c>
      <c r="O13" s="64">
        <v>24.0</v>
      </c>
      <c r="P13" s="64">
        <v>80.15</v>
      </c>
      <c r="Q13" s="64">
        <v>28.0</v>
      </c>
      <c r="R13" s="64">
        <v>71.87</v>
      </c>
    </row>
    <row r="14" ht="33.75" customHeight="1">
      <c r="A14" s="66" t="s">
        <v>1145</v>
      </c>
      <c r="B14" s="66" t="s">
        <v>403</v>
      </c>
      <c r="C14" s="67">
        <v>92.75</v>
      </c>
      <c r="D14" s="67" t="s">
        <v>357</v>
      </c>
      <c r="E14" s="67">
        <v>91.4</v>
      </c>
      <c r="F14" s="67" t="s">
        <v>410</v>
      </c>
      <c r="G14" s="67">
        <v>88.9</v>
      </c>
      <c r="H14" s="68" t="s">
        <v>1146</v>
      </c>
      <c r="I14" s="60" t="s">
        <v>58</v>
      </c>
      <c r="J14" s="60"/>
      <c r="K14" s="60">
        <v>10.0</v>
      </c>
      <c r="L14" s="60" t="s">
        <v>357</v>
      </c>
      <c r="M14" s="60" t="s">
        <v>714</v>
      </c>
      <c r="N14" s="64">
        <v>92.85</v>
      </c>
      <c r="O14" s="64">
        <v>2.0</v>
      </c>
      <c r="P14" s="64">
        <v>91.4</v>
      </c>
      <c r="Q14" s="64">
        <v>2.0</v>
      </c>
      <c r="R14" s="64">
        <v>90.07</v>
      </c>
    </row>
    <row r="15" ht="33.75" customHeight="1">
      <c r="A15" s="66" t="s">
        <v>1147</v>
      </c>
      <c r="B15" s="66" t="s">
        <v>788</v>
      </c>
      <c r="C15" s="67">
        <v>99.5</v>
      </c>
      <c r="D15" s="67" t="s">
        <v>80</v>
      </c>
      <c r="E15" s="67">
        <v>99.1</v>
      </c>
      <c r="F15" s="67" t="s">
        <v>202</v>
      </c>
      <c r="G15" s="67">
        <v>89.7</v>
      </c>
      <c r="H15" s="68" t="s">
        <v>1148</v>
      </c>
      <c r="I15" s="60" t="s">
        <v>1149</v>
      </c>
      <c r="J15" s="60"/>
      <c r="K15" s="60">
        <v>11.0</v>
      </c>
      <c r="L15" s="60" t="s">
        <v>115</v>
      </c>
      <c r="M15" s="60" t="s">
        <v>113</v>
      </c>
      <c r="N15" s="64">
        <v>92.5</v>
      </c>
      <c r="O15" s="64">
        <v>25.0</v>
      </c>
      <c r="P15" s="64">
        <v>80.1</v>
      </c>
      <c r="Q15" s="64">
        <v>27.0</v>
      </c>
      <c r="R15" s="64">
        <v>73.22</v>
      </c>
    </row>
    <row r="16" ht="33.75" customHeight="1">
      <c r="A16" s="66" t="s">
        <v>1150</v>
      </c>
      <c r="B16" s="66" t="s">
        <v>788</v>
      </c>
      <c r="C16" s="67">
        <v>99.6</v>
      </c>
      <c r="D16" s="67" t="s">
        <v>80</v>
      </c>
      <c r="E16" s="67">
        <v>99.3</v>
      </c>
      <c r="F16" s="67" t="s">
        <v>202</v>
      </c>
      <c r="G16" s="67">
        <v>89.4</v>
      </c>
      <c r="H16" s="68" t="s">
        <v>1148</v>
      </c>
      <c r="I16" s="60" t="s">
        <v>1151</v>
      </c>
      <c r="J16" s="60"/>
      <c r="K16" s="60">
        <v>11.0</v>
      </c>
      <c r="L16" s="60" t="s">
        <v>193</v>
      </c>
      <c r="M16" s="60" t="s">
        <v>113</v>
      </c>
      <c r="N16" s="64">
        <v>92.5</v>
      </c>
      <c r="O16" s="64">
        <v>22.0</v>
      </c>
      <c r="P16" s="64">
        <v>81.15</v>
      </c>
      <c r="Q16" s="64">
        <v>25.0</v>
      </c>
      <c r="R16" s="64">
        <v>73.88</v>
      </c>
    </row>
    <row r="17" ht="33.75" customHeight="1">
      <c r="A17" s="66" t="s">
        <v>1152</v>
      </c>
      <c r="B17" s="66" t="s">
        <v>403</v>
      </c>
      <c r="C17" s="67">
        <v>95.6</v>
      </c>
      <c r="D17" s="67" t="s">
        <v>98</v>
      </c>
      <c r="E17" s="67">
        <v>95.2</v>
      </c>
      <c r="F17" s="67" t="s">
        <v>202</v>
      </c>
      <c r="G17" s="67">
        <v>88.6</v>
      </c>
      <c r="H17" s="68" t="s">
        <v>1153</v>
      </c>
      <c r="I17" s="60" t="s">
        <v>1154</v>
      </c>
      <c r="J17" s="60"/>
      <c r="K17" s="60">
        <v>13.0</v>
      </c>
      <c r="L17" s="60" t="s">
        <v>392</v>
      </c>
      <c r="M17" s="60" t="s">
        <v>246</v>
      </c>
      <c r="N17" s="64">
        <v>91.85</v>
      </c>
      <c r="O17" s="64">
        <v>19.0</v>
      </c>
      <c r="P17" s="64">
        <v>82.5</v>
      </c>
      <c r="Q17" s="64">
        <v>21.0</v>
      </c>
      <c r="R17" s="64">
        <v>76.62</v>
      </c>
    </row>
    <row r="18" ht="33.75" customHeight="1">
      <c r="A18" s="66" t="s">
        <v>1155</v>
      </c>
      <c r="B18" s="66" t="s">
        <v>403</v>
      </c>
      <c r="C18" s="67">
        <v>96.55</v>
      </c>
      <c r="D18" s="67" t="s">
        <v>234</v>
      </c>
      <c r="E18" s="67">
        <v>95.8</v>
      </c>
      <c r="F18" s="67" t="s">
        <v>410</v>
      </c>
      <c r="G18" s="67">
        <v>91.2</v>
      </c>
      <c r="H18" s="68" t="s">
        <v>1156</v>
      </c>
      <c r="I18" s="60" t="s">
        <v>1157</v>
      </c>
      <c r="J18" s="60"/>
      <c r="K18" s="60">
        <v>14.0</v>
      </c>
      <c r="L18" s="60" t="s">
        <v>341</v>
      </c>
      <c r="M18" s="60" t="s">
        <v>690</v>
      </c>
      <c r="N18" s="64">
        <v>91.5</v>
      </c>
      <c r="O18" s="64"/>
      <c r="P18" s="64"/>
      <c r="Q18" s="64"/>
      <c r="R18" s="64"/>
    </row>
    <row r="19" ht="33.75" customHeight="1">
      <c r="A19" s="66" t="s">
        <v>1158</v>
      </c>
      <c r="B19" s="66" t="s">
        <v>788</v>
      </c>
      <c r="C19" s="67">
        <v>99.15</v>
      </c>
      <c r="D19" s="67" t="s">
        <v>80</v>
      </c>
      <c r="E19" s="67">
        <v>98.35</v>
      </c>
      <c r="F19" s="67" t="s">
        <v>202</v>
      </c>
      <c r="G19" s="67">
        <v>91.9</v>
      </c>
      <c r="H19" s="68" t="s">
        <v>1148</v>
      </c>
      <c r="I19" s="60" t="s">
        <v>1159</v>
      </c>
      <c r="J19" s="60"/>
      <c r="K19" s="60">
        <v>15.0</v>
      </c>
      <c r="L19" s="60" t="s">
        <v>105</v>
      </c>
      <c r="M19" s="60" t="s">
        <v>78</v>
      </c>
      <c r="N19" s="64">
        <v>90.6</v>
      </c>
      <c r="O19" s="64">
        <v>5.0</v>
      </c>
      <c r="P19" s="64">
        <v>89.15</v>
      </c>
      <c r="Q19" s="64">
        <v>6.0</v>
      </c>
      <c r="R19" s="64">
        <v>87.58</v>
      </c>
    </row>
    <row r="20" ht="33.75" customHeight="1">
      <c r="A20" s="66" t="s">
        <v>1160</v>
      </c>
      <c r="B20" s="66" t="s">
        <v>156</v>
      </c>
      <c r="C20" s="67">
        <v>91.55</v>
      </c>
      <c r="D20" s="67" t="s">
        <v>225</v>
      </c>
      <c r="E20" s="67">
        <v>91.2</v>
      </c>
      <c r="F20" s="67" t="s">
        <v>410</v>
      </c>
      <c r="G20" s="67">
        <v>89.5</v>
      </c>
      <c r="H20" s="68" t="s">
        <v>1161</v>
      </c>
      <c r="I20" s="60" t="s">
        <v>1162</v>
      </c>
      <c r="J20" s="60"/>
      <c r="K20" s="60"/>
      <c r="L20" s="60"/>
      <c r="M20" s="60"/>
      <c r="N20" s="60"/>
      <c r="O20" s="60"/>
      <c r="P20" s="60"/>
      <c r="Q20" s="60"/>
      <c r="R20" s="60"/>
    </row>
    <row r="21" ht="33.75" customHeight="1">
      <c r="A21" s="66" t="s">
        <v>1163</v>
      </c>
      <c r="B21" s="66" t="s">
        <v>788</v>
      </c>
      <c r="C21" s="67">
        <v>100.0</v>
      </c>
      <c r="D21" s="67" t="s">
        <v>80</v>
      </c>
      <c r="E21" s="67">
        <v>100.0</v>
      </c>
      <c r="F21" s="67" t="s">
        <v>202</v>
      </c>
      <c r="G21" s="67">
        <v>91.0</v>
      </c>
      <c r="H21" s="68" t="s">
        <v>1148</v>
      </c>
      <c r="I21" s="60" t="s">
        <v>1164</v>
      </c>
      <c r="J21" s="60"/>
      <c r="K21" s="60"/>
      <c r="L21" s="60"/>
      <c r="M21" s="60"/>
      <c r="N21" s="60"/>
      <c r="O21" s="60"/>
      <c r="P21" s="60"/>
      <c r="Q21" s="60"/>
      <c r="R21" s="60"/>
    </row>
    <row r="22" ht="33.75" customHeight="1">
      <c r="A22" s="66" t="s">
        <v>1165</v>
      </c>
      <c r="B22" s="66" t="s">
        <v>403</v>
      </c>
      <c r="C22" s="67">
        <v>91.17</v>
      </c>
      <c r="D22" s="67" t="s">
        <v>357</v>
      </c>
      <c r="E22" s="67">
        <v>90.07</v>
      </c>
      <c r="F22" s="67" t="s">
        <v>156</v>
      </c>
      <c r="G22" s="67">
        <v>89.78</v>
      </c>
      <c r="H22" s="68" t="s">
        <v>1166</v>
      </c>
      <c r="I22" s="60" t="s">
        <v>60</v>
      </c>
      <c r="J22" s="60"/>
      <c r="K22" s="60"/>
      <c r="L22" s="60"/>
      <c r="M22" s="60"/>
      <c r="N22" s="60"/>
      <c r="O22" s="60"/>
      <c r="P22" s="60"/>
      <c r="Q22" s="60"/>
      <c r="R22" s="60"/>
    </row>
    <row r="23" ht="33.75" customHeight="1">
      <c r="A23" s="66" t="s">
        <v>1167</v>
      </c>
      <c r="B23" s="66" t="s">
        <v>556</v>
      </c>
      <c r="C23" s="67">
        <v>94.35</v>
      </c>
      <c r="D23" s="67" t="s">
        <v>357</v>
      </c>
      <c r="E23" s="67">
        <v>92.85</v>
      </c>
      <c r="F23" s="67" t="s">
        <v>202</v>
      </c>
      <c r="G23" s="67">
        <v>90.35</v>
      </c>
      <c r="H23" s="68" t="s">
        <v>1168</v>
      </c>
      <c r="I23" s="60" t="s">
        <v>1169</v>
      </c>
      <c r="J23" s="60"/>
      <c r="K23" s="6" t="s">
        <v>1170</v>
      </c>
      <c r="L23" s="6" t="s">
        <v>1171</v>
      </c>
      <c r="M23" s="6" t="s">
        <v>460</v>
      </c>
      <c r="N23" s="6" t="s">
        <v>1172</v>
      </c>
      <c r="O23" s="6" t="s">
        <v>460</v>
      </c>
      <c r="P23" s="60"/>
      <c r="Q23" s="60"/>
      <c r="R23" s="60"/>
    </row>
    <row r="24" ht="15.75" customHeight="1">
      <c r="A24" s="66"/>
      <c r="B24" s="66"/>
      <c r="C24" s="66"/>
      <c r="D24" s="66"/>
      <c r="E24" s="66"/>
      <c r="F24" s="66"/>
      <c r="G24" s="66"/>
      <c r="H24" s="68"/>
      <c r="I24" s="60"/>
      <c r="J24" s="60"/>
      <c r="K24" s="60" t="s">
        <v>1173</v>
      </c>
      <c r="L24" s="60" t="s">
        <v>788</v>
      </c>
      <c r="M24" s="64">
        <v>99.15</v>
      </c>
      <c r="N24" s="64" t="s">
        <v>80</v>
      </c>
      <c r="O24" s="64">
        <v>98.35</v>
      </c>
      <c r="P24" s="60"/>
      <c r="Q24" s="60"/>
      <c r="R24" s="60"/>
    </row>
    <row r="25" ht="15.75" customHeight="1">
      <c r="A25" s="66"/>
      <c r="B25" s="66"/>
      <c r="C25" s="66"/>
      <c r="D25" s="66"/>
      <c r="E25" s="66"/>
      <c r="F25" s="66"/>
      <c r="G25" s="66"/>
      <c r="H25" s="68"/>
      <c r="I25" s="60"/>
      <c r="J25" s="60"/>
      <c r="K25" s="60" t="s">
        <v>1174</v>
      </c>
      <c r="L25" s="60" t="s">
        <v>403</v>
      </c>
      <c r="M25" s="64">
        <v>95.6</v>
      </c>
      <c r="N25" s="64" t="s">
        <v>98</v>
      </c>
      <c r="O25" s="64">
        <v>95.2</v>
      </c>
      <c r="P25" s="60"/>
      <c r="Q25" s="60"/>
      <c r="R25" s="60"/>
    </row>
    <row r="26" ht="15.75" customHeight="1">
      <c r="A26" s="66"/>
      <c r="B26" s="66"/>
      <c r="C26" s="66"/>
      <c r="D26" s="66"/>
      <c r="E26" s="66"/>
      <c r="F26" s="66"/>
      <c r="G26" s="66"/>
      <c r="H26" s="68"/>
      <c r="I26" s="60"/>
      <c r="J26" s="60"/>
      <c r="K26" s="60" t="s">
        <v>1175</v>
      </c>
      <c r="L26" s="60" t="s">
        <v>403</v>
      </c>
      <c r="M26" s="64">
        <v>96.55</v>
      </c>
      <c r="N26" s="64" t="s">
        <v>234</v>
      </c>
      <c r="O26" s="64">
        <v>95.8</v>
      </c>
      <c r="P26" s="60"/>
      <c r="Q26" s="60"/>
      <c r="R26" s="60"/>
    </row>
    <row r="27" ht="15.75" customHeight="1">
      <c r="A27" s="60"/>
      <c r="B27" s="60"/>
      <c r="C27" s="60"/>
      <c r="D27" s="60"/>
      <c r="E27" s="60"/>
      <c r="F27" s="60"/>
      <c r="G27" s="60"/>
      <c r="H27" s="60"/>
      <c r="I27" s="60"/>
      <c r="J27" s="60"/>
      <c r="K27" s="60" t="s">
        <v>1176</v>
      </c>
      <c r="L27" s="60" t="s">
        <v>788</v>
      </c>
      <c r="M27" s="64">
        <v>99.5</v>
      </c>
      <c r="N27" s="64" t="s">
        <v>80</v>
      </c>
      <c r="O27" s="64">
        <v>99.1</v>
      </c>
      <c r="P27" s="60"/>
      <c r="Q27" s="60"/>
      <c r="R27" s="60"/>
    </row>
    <row r="28" ht="15.75" customHeight="1">
      <c r="A28" s="60"/>
      <c r="B28" s="60"/>
      <c r="C28" s="60"/>
      <c r="D28" s="60"/>
      <c r="E28" s="60"/>
      <c r="F28" s="60"/>
      <c r="G28" s="60"/>
      <c r="H28" s="60"/>
      <c r="I28" s="60"/>
      <c r="J28" s="60"/>
      <c r="K28" s="60" t="s">
        <v>1177</v>
      </c>
      <c r="L28" s="60" t="s">
        <v>788</v>
      </c>
      <c r="M28" s="64">
        <v>99.6</v>
      </c>
      <c r="N28" s="64" t="s">
        <v>80</v>
      </c>
      <c r="O28" s="64">
        <v>99.3</v>
      </c>
      <c r="P28" s="60"/>
      <c r="Q28" s="60"/>
      <c r="R28" s="60"/>
    </row>
    <row r="29" ht="15.75" customHeight="1">
      <c r="A29" s="60"/>
      <c r="B29" s="60"/>
      <c r="C29" s="60"/>
      <c r="D29" s="60"/>
      <c r="E29" s="60"/>
      <c r="F29" s="60"/>
      <c r="G29" s="60"/>
      <c r="H29" s="60"/>
      <c r="I29" s="60"/>
      <c r="J29" s="60"/>
      <c r="K29" s="60" t="s">
        <v>1178</v>
      </c>
      <c r="L29" s="60" t="s">
        <v>565</v>
      </c>
      <c r="M29" s="64">
        <v>92.3</v>
      </c>
      <c r="N29" s="64" t="s">
        <v>248</v>
      </c>
      <c r="O29" s="64">
        <v>91.7</v>
      </c>
      <c r="P29" s="60"/>
      <c r="Q29" s="60"/>
      <c r="R29" s="60"/>
    </row>
    <row r="30" ht="15.75" customHeight="1">
      <c r="A30" s="42"/>
      <c r="B30" s="42"/>
      <c r="C30" s="42"/>
      <c r="D30" s="42"/>
      <c r="E30" s="42"/>
      <c r="F30" s="42"/>
      <c r="G30" s="42"/>
      <c r="H30" s="42"/>
      <c r="I30" s="42"/>
      <c r="J30" s="42"/>
      <c r="K30" s="42"/>
      <c r="L30" s="42"/>
      <c r="M30" s="42"/>
      <c r="N30" s="42"/>
      <c r="O30" s="42"/>
      <c r="P30" s="42"/>
      <c r="Q30" s="42"/>
      <c r="R30" s="42"/>
    </row>
    <row r="31" ht="15.75" customHeight="1">
      <c r="A31" s="42"/>
      <c r="B31" s="42"/>
      <c r="C31" s="42"/>
      <c r="D31" s="42"/>
      <c r="E31" s="42"/>
      <c r="F31" s="42"/>
      <c r="G31" s="42"/>
      <c r="H31" s="42"/>
      <c r="I31" s="42"/>
      <c r="J31" s="42"/>
      <c r="K31" s="42"/>
      <c r="L31" s="42"/>
      <c r="M31" s="42"/>
      <c r="N31" s="42"/>
      <c r="O31" s="42"/>
      <c r="P31" s="42"/>
      <c r="Q31" s="42"/>
      <c r="R31" s="42"/>
    </row>
    <row r="32" ht="15.75" customHeight="1">
      <c r="A32" s="42"/>
      <c r="B32" s="42"/>
      <c r="C32" s="42"/>
      <c r="D32" s="42"/>
      <c r="E32" s="42"/>
      <c r="F32" s="42"/>
      <c r="G32" s="42"/>
      <c r="H32" s="42"/>
      <c r="I32" s="42"/>
      <c r="J32" s="42"/>
      <c r="K32" s="42"/>
      <c r="L32" s="42"/>
      <c r="M32" s="42"/>
      <c r="N32" s="42"/>
      <c r="O32" s="42"/>
      <c r="P32" s="42"/>
      <c r="Q32" s="42"/>
      <c r="R32" s="42"/>
    </row>
    <row r="33" ht="15.75" customHeight="1">
      <c r="A33" s="42"/>
      <c r="B33" s="42"/>
      <c r="C33" s="42"/>
      <c r="D33" s="42"/>
      <c r="E33" s="42"/>
      <c r="F33" s="42"/>
      <c r="G33" s="42"/>
      <c r="H33" s="42"/>
      <c r="I33" s="42"/>
      <c r="J33" s="42"/>
      <c r="K33" s="42"/>
      <c r="L33" s="42"/>
      <c r="M33" s="42"/>
      <c r="N33" s="42"/>
      <c r="O33" s="42"/>
      <c r="P33" s="42"/>
      <c r="Q33" s="42"/>
      <c r="R33" s="42"/>
    </row>
    <row r="34" ht="15.75" customHeight="1">
      <c r="A34" s="42"/>
      <c r="B34" s="42"/>
      <c r="C34" s="42"/>
      <c r="D34" s="42"/>
      <c r="E34" s="42"/>
      <c r="F34" s="42"/>
      <c r="G34" s="42"/>
      <c r="H34" s="42"/>
      <c r="I34" s="42"/>
      <c r="J34" s="42"/>
      <c r="K34" s="42"/>
      <c r="L34" s="42"/>
      <c r="M34" s="42"/>
      <c r="N34" s="42"/>
      <c r="O34" s="42"/>
      <c r="P34" s="42"/>
      <c r="Q34" s="42"/>
      <c r="R34" s="42"/>
    </row>
    <row r="35" ht="15.75" customHeight="1">
      <c r="A35" s="42"/>
      <c r="B35" s="42"/>
      <c r="C35" s="42"/>
      <c r="D35" s="42"/>
      <c r="E35" s="42"/>
      <c r="F35" s="42"/>
      <c r="G35" s="42"/>
      <c r="H35" s="42"/>
      <c r="I35" s="42"/>
      <c r="J35" s="42"/>
      <c r="K35" s="42"/>
      <c r="L35" s="42"/>
      <c r="M35" s="42"/>
      <c r="N35" s="42"/>
      <c r="O35" s="42"/>
      <c r="P35" s="42"/>
      <c r="Q35" s="42"/>
      <c r="R35" s="42"/>
    </row>
    <row r="36" ht="15.75" customHeight="1">
      <c r="A36" s="42"/>
      <c r="B36" s="42"/>
      <c r="C36" s="42"/>
      <c r="D36" s="42"/>
      <c r="E36" s="42"/>
      <c r="F36" s="42"/>
      <c r="G36" s="42"/>
      <c r="H36" s="42"/>
      <c r="I36" s="42"/>
      <c r="J36" s="42"/>
      <c r="K36" s="42"/>
      <c r="L36" s="42"/>
      <c r="M36" s="42"/>
      <c r="N36" s="42"/>
      <c r="O36" s="42"/>
      <c r="P36" s="42"/>
      <c r="Q36" s="42"/>
      <c r="R36" s="42"/>
    </row>
    <row r="37" ht="15.75" customHeight="1">
      <c r="A37" s="42"/>
      <c r="B37" s="42"/>
      <c r="C37" s="42"/>
      <c r="D37" s="42"/>
      <c r="E37" s="42"/>
      <c r="F37" s="42"/>
      <c r="G37" s="42"/>
      <c r="H37" s="42"/>
      <c r="I37" s="42"/>
      <c r="J37" s="42"/>
      <c r="K37" s="42"/>
      <c r="L37" s="42"/>
      <c r="M37" s="42"/>
      <c r="N37" s="42"/>
      <c r="O37" s="42"/>
      <c r="P37" s="42"/>
      <c r="Q37" s="42"/>
      <c r="R37" s="42"/>
    </row>
    <row r="38" ht="15.75" customHeight="1">
      <c r="A38" s="42"/>
      <c r="B38" s="42"/>
      <c r="C38" s="42"/>
      <c r="D38" s="42"/>
      <c r="E38" s="42"/>
      <c r="F38" s="42"/>
      <c r="G38" s="42"/>
      <c r="H38" s="42"/>
      <c r="I38" s="42"/>
      <c r="J38" s="42"/>
      <c r="K38" s="42"/>
      <c r="L38" s="42"/>
      <c r="M38" s="42"/>
      <c r="N38" s="42"/>
      <c r="O38" s="42"/>
      <c r="P38" s="42"/>
      <c r="Q38" s="42"/>
      <c r="R38" s="42"/>
    </row>
    <row r="39" ht="15.75" customHeight="1">
      <c r="A39" s="42"/>
      <c r="B39" s="42"/>
      <c r="C39" s="42"/>
      <c r="D39" s="42"/>
      <c r="E39" s="42"/>
      <c r="F39" s="42"/>
      <c r="G39" s="42"/>
      <c r="H39" s="42"/>
      <c r="I39" s="42"/>
      <c r="J39" s="42"/>
      <c r="K39" s="42"/>
      <c r="L39" s="42"/>
      <c r="M39" s="42"/>
      <c r="N39" s="42"/>
      <c r="O39" s="42"/>
      <c r="P39" s="42"/>
      <c r="Q39" s="42"/>
      <c r="R39" s="42"/>
    </row>
    <row r="40" ht="15.75" customHeight="1">
      <c r="A40" s="42"/>
      <c r="B40" s="42"/>
      <c r="C40" s="42"/>
      <c r="D40" s="42"/>
      <c r="E40" s="42"/>
      <c r="F40" s="42"/>
      <c r="G40" s="42"/>
      <c r="H40" s="42"/>
      <c r="I40" s="42"/>
      <c r="J40" s="42"/>
      <c r="K40" s="42"/>
      <c r="L40" s="42"/>
      <c r="M40" s="42"/>
      <c r="N40" s="42"/>
      <c r="O40" s="42"/>
      <c r="P40" s="42"/>
      <c r="Q40" s="42"/>
      <c r="R40" s="42"/>
    </row>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H1"/>
    <mergeCell ref="A2:H2"/>
  </mergeCells>
  <printOptions/>
  <pageMargins bottom="0.75" footer="0.0" header="0.0" left="0.7" right="0.7" top="0.75"/>
  <pageSetup orientation="landscape"/>
  <drawing r:id="rId1"/>
  <tableParts count="1">
    <tablePart r:id="rId3"/>
  </tableParts>
</worksheet>
</file>

<file path=xl/worksheets/sheet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0.1" defaultRowHeight="15.0"/>
  <cols>
    <col customWidth="1" min="1" max="2" width="18.4"/>
    <col customWidth="1" min="3" max="3" width="30.4"/>
    <col customWidth="1" min="4" max="4" width="29.6"/>
    <col customWidth="1" min="5" max="5" width="38.4"/>
    <col customWidth="1" min="6" max="6" width="22.4"/>
    <col customWidth="1" min="7" max="7" width="19.2"/>
    <col customWidth="1" min="8" max="8" width="18.4"/>
    <col customWidth="1" min="9" max="9" width="41.6"/>
    <col customWidth="1" min="10" max="10" width="44.0"/>
    <col customWidth="1" min="11" max="26" width="6.9"/>
  </cols>
  <sheetData>
    <row r="1" ht="27.75" customHeight="1">
      <c r="A1" s="1" t="s">
        <v>1179</v>
      </c>
      <c r="K1" s="1"/>
      <c r="L1" s="1"/>
      <c r="M1" s="1"/>
      <c r="N1" s="1"/>
      <c r="O1" s="1"/>
      <c r="P1" s="1"/>
      <c r="Q1" s="1"/>
      <c r="R1" s="1"/>
      <c r="S1" s="1"/>
      <c r="T1" s="1"/>
      <c r="U1" s="1"/>
      <c r="V1" s="1"/>
      <c r="W1" s="1"/>
      <c r="X1" s="1"/>
    </row>
    <row r="2" ht="39.75" customHeight="1">
      <c r="A2" s="2" t="s">
        <v>1180</v>
      </c>
      <c r="K2" s="3"/>
      <c r="L2" s="3"/>
      <c r="M2" s="3"/>
      <c r="N2" s="3"/>
      <c r="O2" s="3"/>
      <c r="P2" s="3"/>
      <c r="Q2" s="3"/>
      <c r="R2" s="3"/>
      <c r="S2" s="3"/>
      <c r="T2" s="3"/>
      <c r="U2" s="3"/>
      <c r="V2" s="3"/>
      <c r="W2" s="3"/>
      <c r="X2" s="3"/>
    </row>
    <row r="3">
      <c r="A3" s="4"/>
      <c r="B3" s="4"/>
      <c r="C3" s="4"/>
      <c r="D3" s="4"/>
      <c r="E3" s="4"/>
      <c r="F3" s="4"/>
      <c r="G3" s="4"/>
      <c r="H3" s="4"/>
      <c r="I3" s="4"/>
      <c r="J3" s="4"/>
    </row>
    <row r="4" ht="39.75" customHeight="1">
      <c r="A4" s="69" t="s">
        <v>1124</v>
      </c>
      <c r="B4" s="69" t="s">
        <v>1128</v>
      </c>
      <c r="C4" s="69" t="s">
        <v>1181</v>
      </c>
      <c r="D4" s="69" t="s">
        <v>391</v>
      </c>
      <c r="E4" s="4"/>
      <c r="F4" s="4"/>
      <c r="G4" s="4"/>
      <c r="H4" s="4"/>
      <c r="I4" s="4"/>
      <c r="J4" s="4"/>
    </row>
    <row r="5">
      <c r="A5" s="70" t="s">
        <v>1182</v>
      </c>
      <c r="B5" s="70">
        <v>19.0</v>
      </c>
      <c r="C5" s="70" t="s">
        <v>1183</v>
      </c>
      <c r="D5" s="70" t="s">
        <v>1184</v>
      </c>
      <c r="E5" s="4"/>
      <c r="F5" s="4"/>
      <c r="G5" s="4"/>
      <c r="H5" s="4"/>
      <c r="I5" s="4"/>
      <c r="J5" s="4"/>
    </row>
    <row r="6">
      <c r="A6" s="70" t="s">
        <v>1185</v>
      </c>
      <c r="B6" s="70">
        <v>10.0</v>
      </c>
      <c r="C6" s="70" t="s">
        <v>1186</v>
      </c>
      <c r="D6" s="70" t="s">
        <v>1187</v>
      </c>
      <c r="E6" s="4"/>
      <c r="F6" s="4"/>
      <c r="G6" s="4"/>
      <c r="H6" s="4"/>
      <c r="I6" s="4"/>
      <c r="J6" s="4"/>
    </row>
    <row r="7">
      <c r="A7" s="70" t="s">
        <v>1188</v>
      </c>
      <c r="B7" s="70">
        <v>8.0</v>
      </c>
      <c r="C7" s="70" t="s">
        <v>1186</v>
      </c>
      <c r="D7" s="70" t="s">
        <v>1189</v>
      </c>
      <c r="E7" s="4"/>
      <c r="F7" s="4"/>
      <c r="G7" s="4"/>
      <c r="H7" s="4"/>
      <c r="I7" s="4"/>
      <c r="J7" s="4"/>
    </row>
    <row r="8">
      <c r="A8" s="70" t="s">
        <v>1190</v>
      </c>
      <c r="B8" s="70">
        <v>9.0</v>
      </c>
      <c r="C8" s="70" t="s">
        <v>1186</v>
      </c>
      <c r="D8" s="70" t="s">
        <v>1191</v>
      </c>
      <c r="E8" s="4"/>
      <c r="F8" s="4"/>
      <c r="G8" s="4"/>
      <c r="H8" s="4"/>
      <c r="I8" s="4"/>
      <c r="J8" s="4"/>
    </row>
    <row r="9">
      <c r="A9" s="70" t="s">
        <v>1192</v>
      </c>
      <c r="B9" s="70">
        <v>5.0</v>
      </c>
      <c r="C9" s="70" t="s">
        <v>1186</v>
      </c>
      <c r="D9" s="70" t="s">
        <v>1193</v>
      </c>
      <c r="E9" s="4"/>
      <c r="F9" s="4"/>
      <c r="G9" s="4"/>
      <c r="H9" s="4"/>
      <c r="I9" s="4"/>
      <c r="J9" s="4"/>
    </row>
    <row r="10">
      <c r="A10" s="70" t="s">
        <v>1194</v>
      </c>
      <c r="B10" s="71">
        <v>32.0</v>
      </c>
      <c r="C10" s="70" t="s">
        <v>1195</v>
      </c>
      <c r="D10" s="70" t="s">
        <v>1196</v>
      </c>
      <c r="E10" s="4"/>
      <c r="F10" s="4"/>
      <c r="G10" s="4"/>
      <c r="H10" s="4"/>
      <c r="I10" s="4"/>
      <c r="J10" s="4"/>
    </row>
    <row r="11">
      <c r="A11" s="70" t="s">
        <v>1197</v>
      </c>
      <c r="B11" s="71">
        <v>51.0</v>
      </c>
      <c r="C11" s="70" t="s">
        <v>1131</v>
      </c>
      <c r="D11" s="70" t="s">
        <v>1198</v>
      </c>
      <c r="E11" s="4"/>
      <c r="F11" s="4"/>
      <c r="G11" s="4"/>
      <c r="H11" s="4"/>
      <c r="I11" s="4"/>
      <c r="J11" s="4"/>
    </row>
    <row r="12">
      <c r="A12" s="70" t="s">
        <v>1199</v>
      </c>
      <c r="B12" s="72" t="s">
        <v>1186</v>
      </c>
      <c r="C12" s="70" t="s">
        <v>1200</v>
      </c>
      <c r="D12" s="70" t="s">
        <v>1201</v>
      </c>
      <c r="E12" s="4"/>
      <c r="F12" s="4"/>
      <c r="G12" s="4"/>
      <c r="H12" s="4"/>
      <c r="I12" s="4"/>
      <c r="J12" s="4"/>
    </row>
    <row r="13">
      <c r="A13" s="73" t="s">
        <v>1202</v>
      </c>
      <c r="B13" s="73">
        <v>34.0</v>
      </c>
      <c r="C13" s="73" t="s">
        <v>1203</v>
      </c>
      <c r="D13" s="73" t="s">
        <v>1204</v>
      </c>
      <c r="E13" s="4"/>
      <c r="F13" s="4"/>
      <c r="G13" s="4"/>
      <c r="H13" s="4"/>
      <c r="I13" s="4"/>
      <c r="J13" s="4"/>
    </row>
    <row r="14" ht="37.5" customHeight="1">
      <c r="A14" s="31" t="s">
        <v>1205</v>
      </c>
      <c r="B14" s="31">
        <v>30.0</v>
      </c>
      <c r="C14" s="31" t="s">
        <v>1206</v>
      </c>
      <c r="D14" s="31" t="s">
        <v>1207</v>
      </c>
      <c r="E14" s="31"/>
      <c r="F14" s="31"/>
      <c r="G14" s="31"/>
      <c r="H14" s="31"/>
      <c r="I14" s="31"/>
      <c r="J14" s="31"/>
    </row>
    <row r="15" ht="39.75" customHeight="1">
      <c r="A15" s="59" t="s">
        <v>1208</v>
      </c>
      <c r="B15" s="59" t="s">
        <v>1209</v>
      </c>
      <c r="C15" s="59" t="s">
        <v>1210</v>
      </c>
      <c r="D15" s="59" t="s">
        <v>1211</v>
      </c>
      <c r="E15" s="59" t="s">
        <v>1212</v>
      </c>
      <c r="F15" s="59" t="s">
        <v>377</v>
      </c>
      <c r="G15" s="59" t="s">
        <v>1213</v>
      </c>
      <c r="H15" s="59" t="s">
        <v>1214</v>
      </c>
      <c r="I15" s="59" t="s">
        <v>802</v>
      </c>
      <c r="J15" s="59" t="s">
        <v>391</v>
      </c>
    </row>
    <row r="16">
      <c r="A16" s="34" t="s">
        <v>1215</v>
      </c>
      <c r="B16" s="34" t="s">
        <v>1216</v>
      </c>
      <c r="C16" s="34" t="s">
        <v>1217</v>
      </c>
      <c r="D16" s="34" t="s">
        <v>1218</v>
      </c>
      <c r="E16" s="34" t="s">
        <v>1219</v>
      </c>
      <c r="F16" s="34" t="s">
        <v>839</v>
      </c>
      <c r="G16" s="34" t="s">
        <v>1220</v>
      </c>
      <c r="H16" s="34" t="s">
        <v>1221</v>
      </c>
      <c r="I16" s="34" t="s">
        <v>1222</v>
      </c>
      <c r="J16" s="34"/>
    </row>
    <row r="17">
      <c r="A17" s="34">
        <v>2.0</v>
      </c>
      <c r="B17" s="34" t="s">
        <v>787</v>
      </c>
      <c r="C17" s="34" t="s">
        <v>808</v>
      </c>
      <c r="D17" s="34" t="s">
        <v>790</v>
      </c>
      <c r="E17" s="34" t="s">
        <v>1223</v>
      </c>
      <c r="F17" s="34" t="s">
        <v>839</v>
      </c>
      <c r="G17" s="34" t="s">
        <v>1220</v>
      </c>
      <c r="H17" s="34" t="s">
        <v>1221</v>
      </c>
      <c r="I17" s="34" t="s">
        <v>1222</v>
      </c>
      <c r="J17" s="34"/>
    </row>
    <row r="18">
      <c r="A18" s="34">
        <v>2.0</v>
      </c>
      <c r="B18" s="34" t="s">
        <v>787</v>
      </c>
      <c r="C18" s="34" t="s">
        <v>808</v>
      </c>
      <c r="D18" s="34" t="s">
        <v>792</v>
      </c>
      <c r="E18" s="34" t="s">
        <v>1224</v>
      </c>
      <c r="F18" s="34" t="s">
        <v>839</v>
      </c>
      <c r="G18" s="34" t="s">
        <v>1220</v>
      </c>
      <c r="H18" s="34" t="s">
        <v>1221</v>
      </c>
      <c r="I18" s="34" t="s">
        <v>1222</v>
      </c>
      <c r="J18" s="34"/>
    </row>
    <row r="19">
      <c r="A19" s="34">
        <v>2.0</v>
      </c>
      <c r="B19" s="34" t="s">
        <v>787</v>
      </c>
      <c r="C19" s="34" t="s">
        <v>808</v>
      </c>
      <c r="D19" s="34" t="s">
        <v>794</v>
      </c>
      <c r="E19" s="34" t="s">
        <v>1225</v>
      </c>
      <c r="F19" s="34" t="s">
        <v>839</v>
      </c>
      <c r="G19" s="34" t="s">
        <v>1220</v>
      </c>
      <c r="H19" s="34" t="s">
        <v>1221</v>
      </c>
      <c r="I19" s="34" t="s">
        <v>1222</v>
      </c>
      <c r="J19" s="34" t="s">
        <v>1226</v>
      </c>
    </row>
    <row r="20">
      <c r="A20" s="34">
        <v>2.0</v>
      </c>
      <c r="B20" s="34" t="s">
        <v>232</v>
      </c>
      <c r="C20" s="34" t="s">
        <v>233</v>
      </c>
      <c r="D20" s="34" t="s">
        <v>234</v>
      </c>
      <c r="E20" s="34" t="s">
        <v>235</v>
      </c>
      <c r="F20" s="34" t="s">
        <v>118</v>
      </c>
      <c r="G20" s="34" t="s">
        <v>1220</v>
      </c>
      <c r="H20" s="34" t="s">
        <v>1221</v>
      </c>
      <c r="I20" s="34" t="s">
        <v>243</v>
      </c>
      <c r="J20" s="34"/>
    </row>
    <row r="21" ht="15.75" customHeight="1">
      <c r="A21" s="34">
        <v>2.0</v>
      </c>
      <c r="B21" s="34" t="s">
        <v>232</v>
      </c>
      <c r="C21" s="34" t="s">
        <v>233</v>
      </c>
      <c r="D21" s="34" t="s">
        <v>840</v>
      </c>
      <c r="E21" s="34" t="s">
        <v>1227</v>
      </c>
      <c r="F21" s="34" t="s">
        <v>118</v>
      </c>
      <c r="G21" s="34" t="s">
        <v>1220</v>
      </c>
      <c r="H21" s="34" t="s">
        <v>1221</v>
      </c>
      <c r="I21" s="34" t="s">
        <v>1228</v>
      </c>
      <c r="J21" s="34"/>
    </row>
    <row r="22" ht="15.75" customHeight="1">
      <c r="A22" s="34">
        <v>2.0</v>
      </c>
      <c r="B22" s="34" t="s">
        <v>232</v>
      </c>
      <c r="C22" s="34" t="s">
        <v>233</v>
      </c>
      <c r="D22" s="34" t="s">
        <v>842</v>
      </c>
      <c r="E22" s="34" t="s">
        <v>1229</v>
      </c>
      <c r="F22" s="34" t="s">
        <v>118</v>
      </c>
      <c r="G22" s="34" t="s">
        <v>1220</v>
      </c>
      <c r="H22" s="34" t="s">
        <v>1221</v>
      </c>
      <c r="I22" s="34" t="s">
        <v>1230</v>
      </c>
      <c r="J22" s="34" t="s">
        <v>1231</v>
      </c>
    </row>
    <row r="23" ht="15.75" customHeight="1">
      <c r="A23" s="34">
        <v>2.0</v>
      </c>
      <c r="B23" s="34" t="s">
        <v>232</v>
      </c>
      <c r="C23" s="34" t="s">
        <v>233</v>
      </c>
      <c r="D23" s="34" t="s">
        <v>843</v>
      </c>
      <c r="E23" s="34" t="s">
        <v>1232</v>
      </c>
      <c r="F23" s="34" t="s">
        <v>118</v>
      </c>
      <c r="G23" s="34" t="s">
        <v>1220</v>
      </c>
      <c r="H23" s="34" t="s">
        <v>1221</v>
      </c>
      <c r="I23" s="34" t="s">
        <v>1233</v>
      </c>
      <c r="J23" s="34" t="s">
        <v>1231</v>
      </c>
    </row>
    <row r="24" ht="15.75" customHeight="1">
      <c r="A24" s="34">
        <v>2.0</v>
      </c>
      <c r="B24" s="34" t="s">
        <v>232</v>
      </c>
      <c r="C24" s="34" t="s">
        <v>233</v>
      </c>
      <c r="D24" s="34" t="s">
        <v>844</v>
      </c>
      <c r="E24" s="34" t="s">
        <v>1234</v>
      </c>
      <c r="F24" s="34" t="s">
        <v>845</v>
      </c>
      <c r="G24" s="34" t="s">
        <v>1235</v>
      </c>
      <c r="H24" s="34" t="s">
        <v>1221</v>
      </c>
      <c r="I24" s="34" t="s">
        <v>1236</v>
      </c>
      <c r="J24" s="34" t="s">
        <v>1231</v>
      </c>
    </row>
    <row r="25" ht="15.75" customHeight="1">
      <c r="A25" s="34">
        <v>2.0</v>
      </c>
      <c r="B25" s="34" t="s">
        <v>232</v>
      </c>
      <c r="C25" s="34" t="s">
        <v>233</v>
      </c>
      <c r="D25" s="34" t="s">
        <v>846</v>
      </c>
      <c r="E25" s="34" t="s">
        <v>1237</v>
      </c>
      <c r="F25" s="34" t="s">
        <v>847</v>
      </c>
      <c r="G25" s="34" t="s">
        <v>1238</v>
      </c>
      <c r="H25" s="34" t="s">
        <v>1221</v>
      </c>
      <c r="I25" s="34" t="s">
        <v>1239</v>
      </c>
      <c r="J25" s="34"/>
    </row>
    <row r="26" ht="15.75" customHeight="1">
      <c r="A26" s="34">
        <v>3.0</v>
      </c>
      <c r="B26" s="34" t="s">
        <v>246</v>
      </c>
      <c r="C26" s="34" t="s">
        <v>247</v>
      </c>
      <c r="D26" s="34" t="s">
        <v>392</v>
      </c>
      <c r="E26" s="34" t="s">
        <v>393</v>
      </c>
      <c r="F26" s="34" t="s">
        <v>394</v>
      </c>
      <c r="G26" s="34" t="s">
        <v>1220</v>
      </c>
      <c r="H26" s="34" t="s">
        <v>1240</v>
      </c>
      <c r="I26" s="34" t="s">
        <v>401</v>
      </c>
      <c r="J26" s="34"/>
    </row>
    <row r="27" ht="15.75" customHeight="1">
      <c r="A27" s="34">
        <v>3.0</v>
      </c>
      <c r="B27" s="34" t="s">
        <v>246</v>
      </c>
      <c r="C27" s="34" t="s">
        <v>247</v>
      </c>
      <c r="D27" s="34" t="s">
        <v>403</v>
      </c>
      <c r="E27" s="34" t="s">
        <v>404</v>
      </c>
      <c r="F27" s="34" t="s">
        <v>252</v>
      </c>
      <c r="G27" s="34" t="s">
        <v>1220</v>
      </c>
      <c r="H27" s="34" t="s">
        <v>1240</v>
      </c>
      <c r="I27" s="34" t="s">
        <v>408</v>
      </c>
      <c r="J27" s="34"/>
    </row>
    <row r="28" ht="15.75" customHeight="1">
      <c r="A28" s="34">
        <v>3.0</v>
      </c>
      <c r="B28" s="34" t="s">
        <v>246</v>
      </c>
      <c r="C28" s="34" t="s">
        <v>247</v>
      </c>
      <c r="D28" s="34" t="s">
        <v>410</v>
      </c>
      <c r="E28" s="34" t="s">
        <v>411</v>
      </c>
      <c r="F28" s="34" t="s">
        <v>412</v>
      </c>
      <c r="G28" s="34" t="s">
        <v>1220</v>
      </c>
      <c r="H28" s="34" t="s">
        <v>1240</v>
      </c>
      <c r="I28" s="34" t="s">
        <v>417</v>
      </c>
      <c r="J28" s="34"/>
    </row>
    <row r="29" ht="15.75" customHeight="1">
      <c r="A29" s="34">
        <v>3.0</v>
      </c>
      <c r="B29" s="34" t="s">
        <v>246</v>
      </c>
      <c r="C29" s="34" t="s">
        <v>247</v>
      </c>
      <c r="D29" s="34" t="s">
        <v>248</v>
      </c>
      <c r="E29" s="34" t="s">
        <v>249</v>
      </c>
      <c r="F29" s="34" t="s">
        <v>252</v>
      </c>
      <c r="G29" s="34" t="s">
        <v>1220</v>
      </c>
      <c r="H29" s="34" t="s">
        <v>1240</v>
      </c>
      <c r="I29" s="34" t="s">
        <v>261</v>
      </c>
      <c r="J29" s="34"/>
    </row>
    <row r="30" ht="15.75" customHeight="1">
      <c r="A30" s="34">
        <v>3.0</v>
      </c>
      <c r="B30" s="34" t="s">
        <v>246</v>
      </c>
      <c r="C30" s="34" t="s">
        <v>247</v>
      </c>
      <c r="D30" s="34" t="s">
        <v>423</v>
      </c>
      <c r="E30" s="34" t="s">
        <v>424</v>
      </c>
      <c r="F30" s="34" t="s">
        <v>1241</v>
      </c>
      <c r="G30" s="34" t="s">
        <v>1220</v>
      </c>
      <c r="H30" s="34" t="s">
        <v>1240</v>
      </c>
      <c r="I30" s="34" t="s">
        <v>430</v>
      </c>
      <c r="J30" s="34"/>
    </row>
    <row r="31" ht="15.75" customHeight="1">
      <c r="A31" s="34">
        <v>3.0</v>
      </c>
      <c r="B31" s="34" t="s">
        <v>246</v>
      </c>
      <c r="C31" s="34" t="s">
        <v>247</v>
      </c>
      <c r="D31" s="34" t="s">
        <v>432</v>
      </c>
      <c r="E31" s="34" t="s">
        <v>433</v>
      </c>
      <c r="F31" s="34" t="s">
        <v>1241</v>
      </c>
      <c r="G31" s="34" t="s">
        <v>1220</v>
      </c>
      <c r="H31" s="34" t="s">
        <v>1240</v>
      </c>
      <c r="I31" s="34" t="s">
        <v>438</v>
      </c>
      <c r="J31" s="34"/>
    </row>
    <row r="32" ht="15.75" customHeight="1">
      <c r="A32" s="34">
        <v>3.0</v>
      </c>
      <c r="B32" s="34" t="s">
        <v>246</v>
      </c>
      <c r="C32" s="34" t="s">
        <v>247</v>
      </c>
      <c r="D32" s="34" t="s">
        <v>440</v>
      </c>
      <c r="E32" s="34" t="s">
        <v>441</v>
      </c>
      <c r="F32" s="34" t="s">
        <v>1241</v>
      </c>
      <c r="G32" s="34" t="s">
        <v>1220</v>
      </c>
      <c r="H32" s="34" t="s">
        <v>1240</v>
      </c>
      <c r="I32" s="34" t="s">
        <v>445</v>
      </c>
      <c r="J32" s="34"/>
    </row>
    <row r="33" ht="15.75" customHeight="1">
      <c r="A33" s="34">
        <v>3.0</v>
      </c>
      <c r="B33" s="34" t="s">
        <v>246</v>
      </c>
      <c r="C33" s="34" t="s">
        <v>849</v>
      </c>
      <c r="D33" s="34" t="s">
        <v>266</v>
      </c>
      <c r="E33" s="34" t="s">
        <v>267</v>
      </c>
      <c r="F33" s="34" t="s">
        <v>118</v>
      </c>
      <c r="G33" s="34" t="s">
        <v>1220</v>
      </c>
      <c r="H33" s="34" t="s">
        <v>1240</v>
      </c>
      <c r="I33" s="34" t="s">
        <v>279</v>
      </c>
      <c r="J33" s="34"/>
    </row>
    <row r="34" ht="37.5" customHeight="1">
      <c r="A34" s="74">
        <v>4.0</v>
      </c>
      <c r="B34" s="74" t="s">
        <v>555</v>
      </c>
      <c r="C34" s="74" t="s">
        <v>815</v>
      </c>
      <c r="D34" s="34" t="s">
        <v>556</v>
      </c>
      <c r="E34" s="34" t="s">
        <v>1242</v>
      </c>
      <c r="F34" s="34" t="s">
        <v>118</v>
      </c>
      <c r="G34" s="34" t="s">
        <v>1243</v>
      </c>
      <c r="H34" s="34" t="s">
        <v>1244</v>
      </c>
      <c r="I34" s="34" t="s">
        <v>851</v>
      </c>
      <c r="J34" s="34"/>
    </row>
    <row r="35" ht="15.75" customHeight="1">
      <c r="A35" s="34">
        <v>4.0</v>
      </c>
      <c r="B35" s="34" t="s">
        <v>555</v>
      </c>
      <c r="C35" s="34" t="s">
        <v>815</v>
      </c>
      <c r="D35" s="75" t="s">
        <v>565</v>
      </c>
      <c r="E35" s="75" t="s">
        <v>1245</v>
      </c>
      <c r="F35" s="75" t="s">
        <v>118</v>
      </c>
      <c r="G35" s="75" t="s">
        <v>1220</v>
      </c>
      <c r="H35" s="75" t="s">
        <v>1244</v>
      </c>
      <c r="I35" s="75" t="s">
        <v>853</v>
      </c>
      <c r="J35" s="75"/>
    </row>
    <row r="36" ht="15.75" customHeight="1">
      <c r="A36" s="34">
        <v>4.0</v>
      </c>
      <c r="B36" s="34" t="s">
        <v>555</v>
      </c>
      <c r="C36" s="34" t="s">
        <v>815</v>
      </c>
      <c r="D36" s="75" t="s">
        <v>581</v>
      </c>
      <c r="E36" s="75" t="s">
        <v>1246</v>
      </c>
      <c r="F36" s="75" t="s">
        <v>118</v>
      </c>
      <c r="G36" s="75" t="s">
        <v>1220</v>
      </c>
      <c r="H36" s="75" t="s">
        <v>1244</v>
      </c>
      <c r="I36" s="75" t="s">
        <v>854</v>
      </c>
      <c r="J36" s="75"/>
    </row>
    <row r="37" ht="37.5" customHeight="1">
      <c r="A37" s="59">
        <v>4.0</v>
      </c>
      <c r="B37" s="59" t="s">
        <v>555</v>
      </c>
      <c r="C37" s="59" t="s">
        <v>1247</v>
      </c>
      <c r="D37" s="75" t="s">
        <v>587</v>
      </c>
      <c r="E37" s="75" t="s">
        <v>1248</v>
      </c>
      <c r="F37" s="75" t="s">
        <v>856</v>
      </c>
      <c r="G37" s="75" t="s">
        <v>1249</v>
      </c>
      <c r="H37" s="75" t="s">
        <v>1244</v>
      </c>
      <c r="I37" s="75" t="s">
        <v>857</v>
      </c>
      <c r="J37" s="75"/>
    </row>
    <row r="38" ht="15.75" customHeight="1">
      <c r="A38" s="34">
        <v>4.0</v>
      </c>
      <c r="B38" s="34" t="s">
        <v>555</v>
      </c>
      <c r="C38" s="34" t="s">
        <v>815</v>
      </c>
      <c r="D38" s="75" t="s">
        <v>599</v>
      </c>
      <c r="E38" s="75" t="s">
        <v>1250</v>
      </c>
      <c r="F38" s="75" t="s">
        <v>1251</v>
      </c>
      <c r="G38" s="75" t="s">
        <v>1252</v>
      </c>
      <c r="H38" s="75" t="s">
        <v>1244</v>
      </c>
      <c r="I38" s="75" t="s">
        <v>993</v>
      </c>
      <c r="J38" s="75" t="s">
        <v>1253</v>
      </c>
    </row>
    <row r="39" ht="15.75" customHeight="1">
      <c r="A39" s="34">
        <v>4.0</v>
      </c>
      <c r="B39" s="34" t="s">
        <v>555</v>
      </c>
      <c r="C39" s="34" t="s">
        <v>815</v>
      </c>
      <c r="D39" s="75" t="s">
        <v>661</v>
      </c>
      <c r="E39" s="75" t="s">
        <v>1254</v>
      </c>
      <c r="F39" s="75" t="s">
        <v>118</v>
      </c>
      <c r="G39" s="75" t="s">
        <v>1255</v>
      </c>
      <c r="H39" s="75" t="s">
        <v>1256</v>
      </c>
      <c r="I39" s="75" t="s">
        <v>859</v>
      </c>
      <c r="J39" s="75" t="s">
        <v>1257</v>
      </c>
    </row>
    <row r="40" ht="15.75" customHeight="1">
      <c r="A40" s="34">
        <v>4.0</v>
      </c>
      <c r="B40" s="34" t="s">
        <v>555</v>
      </c>
      <c r="C40" s="34" t="s">
        <v>815</v>
      </c>
      <c r="D40" s="75" t="s">
        <v>688</v>
      </c>
      <c r="E40" s="75" t="s">
        <v>1258</v>
      </c>
      <c r="F40" s="75" t="s">
        <v>118</v>
      </c>
      <c r="G40" s="75" t="s">
        <v>1255</v>
      </c>
      <c r="H40" s="75" t="s">
        <v>1256</v>
      </c>
      <c r="I40" s="75" t="s">
        <v>860</v>
      </c>
      <c r="J40" s="75" t="s">
        <v>1257</v>
      </c>
    </row>
    <row r="41" ht="15.75" customHeight="1">
      <c r="A41" s="34">
        <v>4.0</v>
      </c>
      <c r="B41" s="34" t="s">
        <v>555</v>
      </c>
      <c r="C41" s="34" t="s">
        <v>815</v>
      </c>
      <c r="D41" s="45" t="s">
        <v>689</v>
      </c>
      <c r="E41" s="45" t="s">
        <v>1259</v>
      </c>
      <c r="F41" s="45" t="s">
        <v>118</v>
      </c>
      <c r="G41" s="45" t="s">
        <v>1260</v>
      </c>
      <c r="H41" s="45" t="s">
        <v>1256</v>
      </c>
      <c r="I41" s="45" t="s">
        <v>861</v>
      </c>
      <c r="J41" s="45" t="s">
        <v>1257</v>
      </c>
    </row>
    <row r="42" ht="15.75" customHeight="1">
      <c r="A42" s="34">
        <v>4.0</v>
      </c>
      <c r="B42" s="34" t="s">
        <v>283</v>
      </c>
      <c r="C42" s="34" t="s">
        <v>1261</v>
      </c>
      <c r="D42" s="45" t="s">
        <v>285</v>
      </c>
      <c r="E42" s="45" t="s">
        <v>286</v>
      </c>
      <c r="F42" s="45" t="s">
        <v>118</v>
      </c>
      <c r="G42" s="45" t="s">
        <v>1243</v>
      </c>
      <c r="H42" s="45" t="s">
        <v>1244</v>
      </c>
      <c r="I42" s="45" t="s">
        <v>299</v>
      </c>
      <c r="J42" s="45"/>
    </row>
    <row r="43" ht="15.75" customHeight="1">
      <c r="A43" s="34">
        <v>4.0</v>
      </c>
      <c r="B43" s="34" t="s">
        <v>283</v>
      </c>
      <c r="C43" s="34" t="s">
        <v>1261</v>
      </c>
      <c r="D43" s="45" t="s">
        <v>302</v>
      </c>
      <c r="E43" s="45" t="s">
        <v>303</v>
      </c>
      <c r="F43" s="45" t="s">
        <v>118</v>
      </c>
      <c r="G43" s="45" t="s">
        <v>1243</v>
      </c>
      <c r="H43" s="45" t="s">
        <v>1244</v>
      </c>
      <c r="I43" s="45" t="s">
        <v>312</v>
      </c>
      <c r="J43" s="45"/>
    </row>
    <row r="44" ht="15.75" customHeight="1">
      <c r="A44" s="34">
        <v>4.0</v>
      </c>
      <c r="B44" s="34" t="s">
        <v>283</v>
      </c>
      <c r="C44" s="34" t="s">
        <v>1261</v>
      </c>
      <c r="D44" s="45" t="s">
        <v>314</v>
      </c>
      <c r="E44" s="45" t="s">
        <v>315</v>
      </c>
      <c r="F44" s="45" t="s">
        <v>118</v>
      </c>
      <c r="G44" s="45" t="s">
        <v>1262</v>
      </c>
      <c r="H44" s="45" t="s">
        <v>1244</v>
      </c>
      <c r="I44" s="45" t="s">
        <v>323</v>
      </c>
      <c r="J44" s="45"/>
    </row>
    <row r="45" ht="15.75" customHeight="1">
      <c r="A45" s="45">
        <v>4.0</v>
      </c>
      <c r="B45" s="45" t="s">
        <v>283</v>
      </c>
      <c r="C45" s="45" t="s">
        <v>1261</v>
      </c>
      <c r="D45" s="45" t="s">
        <v>325</v>
      </c>
      <c r="E45" s="45" t="s">
        <v>326</v>
      </c>
      <c r="F45" s="45" t="s">
        <v>118</v>
      </c>
      <c r="G45" s="45" t="s">
        <v>1263</v>
      </c>
      <c r="H45" s="45" t="s">
        <v>1244</v>
      </c>
      <c r="I45" s="45" t="s">
        <v>337</v>
      </c>
      <c r="J45" s="45"/>
    </row>
    <row r="46" ht="15.75" customHeight="1">
      <c r="A46" s="45">
        <v>5.0</v>
      </c>
      <c r="B46" s="45" t="s">
        <v>690</v>
      </c>
      <c r="C46" s="45" t="s">
        <v>862</v>
      </c>
      <c r="D46" s="45" t="s">
        <v>341</v>
      </c>
      <c r="E46" s="45" t="s">
        <v>1264</v>
      </c>
      <c r="F46" s="45" t="s">
        <v>118</v>
      </c>
      <c r="G46" s="45" t="s">
        <v>1220</v>
      </c>
      <c r="H46" s="45" t="s">
        <v>1256</v>
      </c>
      <c r="I46" s="45" t="s">
        <v>352</v>
      </c>
      <c r="J46" s="45" t="s">
        <v>1265</v>
      </c>
    </row>
    <row r="47" ht="15.75" customHeight="1">
      <c r="A47" s="45">
        <v>5.0</v>
      </c>
      <c r="B47" s="45" t="s">
        <v>714</v>
      </c>
      <c r="C47" s="45" t="s">
        <v>863</v>
      </c>
      <c r="D47" s="45" t="s">
        <v>357</v>
      </c>
      <c r="E47" s="45" t="s">
        <v>358</v>
      </c>
      <c r="F47" s="45" t="s">
        <v>118</v>
      </c>
      <c r="G47" s="45" t="s">
        <v>1220</v>
      </c>
      <c r="H47" s="45" t="s">
        <v>1256</v>
      </c>
      <c r="I47" s="45" t="s">
        <v>369</v>
      </c>
      <c r="J47" s="45" t="s">
        <v>1266</v>
      </c>
    </row>
    <row r="48" ht="15.75" customHeight="1"/>
    <row r="49" ht="15.75" customHeight="1"/>
    <row r="50" ht="39.75" customHeight="1">
      <c r="A50" s="69" t="s">
        <v>1267</v>
      </c>
      <c r="B50" s="69" t="s">
        <v>867</v>
      </c>
      <c r="C50" s="69" t="s">
        <v>1268</v>
      </c>
    </row>
    <row r="51" ht="15.75" customHeight="1">
      <c r="A51" s="70" t="s">
        <v>1269</v>
      </c>
      <c r="B51" s="70" t="s">
        <v>1270</v>
      </c>
      <c r="C51" s="70" t="s">
        <v>1271</v>
      </c>
    </row>
    <row r="52" ht="15.75" customHeight="1">
      <c r="A52" s="70" t="s">
        <v>1272</v>
      </c>
      <c r="B52" s="70" t="s">
        <v>1273</v>
      </c>
      <c r="C52" s="70" t="s">
        <v>1274</v>
      </c>
    </row>
    <row r="53" ht="15.75" customHeight="1">
      <c r="A53" s="70" t="s">
        <v>1275</v>
      </c>
      <c r="B53" s="70" t="s">
        <v>1276</v>
      </c>
      <c r="C53" s="70" t="s">
        <v>1277</v>
      </c>
    </row>
    <row r="54" ht="15.75" customHeight="1">
      <c r="A54" s="70" t="s">
        <v>1278</v>
      </c>
      <c r="B54" s="70" t="s">
        <v>1273</v>
      </c>
      <c r="C54" s="70" t="s">
        <v>1279</v>
      </c>
    </row>
    <row r="55" ht="15.75" customHeight="1">
      <c r="A55" s="70" t="s">
        <v>1280</v>
      </c>
      <c r="B55" s="70" t="s">
        <v>1276</v>
      </c>
      <c r="C55" s="70" t="s">
        <v>1281</v>
      </c>
    </row>
    <row r="56" ht="15.75" customHeight="1">
      <c r="A56" s="70" t="s">
        <v>1282</v>
      </c>
      <c r="B56" s="70" t="s">
        <v>1283</v>
      </c>
      <c r="C56" s="70" t="s">
        <v>1284</v>
      </c>
    </row>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J1"/>
    <mergeCell ref="A2:J2"/>
  </mergeCells>
  <printOptions/>
  <pageMargins bottom="0.75" footer="0.0" header="0.0" left="0.7" right="0.7" top="0.75"/>
  <pageSetup orientation="landscape"/>
  <drawing r:id="rId1"/>
  <tableParts count="2">
    <tablePart r:id="rId4"/>
    <tablePart r:id="rId5"/>
  </tableParts>
</worksheet>
</file>

<file path=xl/worksheets/sheet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0.1" defaultRowHeight="15.0"/>
  <cols>
    <col customWidth="1" min="1" max="1" width="11.2"/>
    <col customWidth="1" min="2" max="2" width="17.6"/>
    <col customWidth="1" min="3" max="3" width="22.4"/>
    <col customWidth="1" min="4" max="4" width="25.6"/>
    <col customWidth="1" min="5" max="5" width="17.6"/>
    <col customWidth="1" min="6" max="6" width="43.2"/>
    <col customWidth="1" min="7" max="26" width="6.9"/>
  </cols>
  <sheetData>
    <row r="1" ht="27.75" customHeight="1">
      <c r="A1" s="29" t="s">
        <v>1285</v>
      </c>
    </row>
    <row r="2" ht="37.5" customHeight="1">
      <c r="A2" s="30" t="s">
        <v>1286</v>
      </c>
    </row>
    <row r="3">
      <c r="A3" s="4"/>
      <c r="B3" s="4"/>
      <c r="C3" s="4"/>
      <c r="D3" s="4"/>
      <c r="E3" s="4"/>
      <c r="F3" s="4"/>
    </row>
    <row r="4" ht="37.5" customHeight="1">
      <c r="A4" s="31" t="s">
        <v>2</v>
      </c>
      <c r="B4" s="31" t="s">
        <v>3</v>
      </c>
      <c r="C4" s="31" t="s">
        <v>4</v>
      </c>
      <c r="D4" s="31" t="s">
        <v>5</v>
      </c>
      <c r="E4" s="31" t="s">
        <v>8</v>
      </c>
      <c r="F4" s="31" t="s">
        <v>1287</v>
      </c>
    </row>
    <row r="5">
      <c r="A5" s="34" t="s">
        <v>78</v>
      </c>
      <c r="B5" s="34" t="s">
        <v>79</v>
      </c>
      <c r="C5" s="34" t="s">
        <v>80</v>
      </c>
      <c r="D5" s="34" t="s">
        <v>81</v>
      </c>
      <c r="E5" s="34" t="s">
        <v>83</v>
      </c>
      <c r="F5" s="34" t="s">
        <v>965</v>
      </c>
    </row>
    <row r="6">
      <c r="A6" s="34" t="s">
        <v>78</v>
      </c>
      <c r="B6" s="34" t="s">
        <v>79</v>
      </c>
      <c r="C6" s="34" t="s">
        <v>98</v>
      </c>
      <c r="D6" s="34" t="s">
        <v>99</v>
      </c>
      <c r="E6" s="34" t="s">
        <v>100</v>
      </c>
      <c r="F6" s="34" t="s">
        <v>965</v>
      </c>
    </row>
    <row r="7">
      <c r="A7" s="34" t="s">
        <v>78</v>
      </c>
      <c r="B7" s="34" t="s">
        <v>79</v>
      </c>
      <c r="C7" s="34" t="s">
        <v>105</v>
      </c>
      <c r="D7" s="34" t="s">
        <v>106</v>
      </c>
      <c r="E7" s="34" t="s">
        <v>107</v>
      </c>
      <c r="F7" s="34" t="s">
        <v>965</v>
      </c>
    </row>
    <row r="8">
      <c r="A8" s="34" t="s">
        <v>78</v>
      </c>
      <c r="B8" s="34" t="s">
        <v>79</v>
      </c>
      <c r="C8" s="34" t="s">
        <v>781</v>
      </c>
      <c r="D8" s="34" t="s">
        <v>1288</v>
      </c>
      <c r="E8" s="34" t="s">
        <v>131</v>
      </c>
      <c r="F8" s="34" t="s">
        <v>965</v>
      </c>
    </row>
    <row r="9">
      <c r="A9" s="34" t="s">
        <v>78</v>
      </c>
      <c r="B9" s="34" t="s">
        <v>79</v>
      </c>
      <c r="C9" s="34" t="s">
        <v>783</v>
      </c>
      <c r="D9" s="34" t="s">
        <v>1289</v>
      </c>
      <c r="E9" s="34" t="s">
        <v>131</v>
      </c>
      <c r="F9" s="34" t="s">
        <v>965</v>
      </c>
    </row>
    <row r="10">
      <c r="A10" s="34" t="s">
        <v>78</v>
      </c>
      <c r="B10" s="34" t="s">
        <v>79</v>
      </c>
      <c r="C10" s="34" t="s">
        <v>785</v>
      </c>
      <c r="D10" s="34" t="s">
        <v>1290</v>
      </c>
      <c r="E10" s="34" t="s">
        <v>131</v>
      </c>
      <c r="F10" s="34" t="s">
        <v>965</v>
      </c>
    </row>
    <row r="11">
      <c r="A11" s="34" t="s">
        <v>113</v>
      </c>
      <c r="B11" s="34" t="s">
        <v>114</v>
      </c>
      <c r="C11" s="34" t="s">
        <v>115</v>
      </c>
      <c r="D11" s="34" t="s">
        <v>116</v>
      </c>
      <c r="E11" s="34" t="s">
        <v>118</v>
      </c>
      <c r="F11" s="34" t="s">
        <v>965</v>
      </c>
    </row>
    <row r="12">
      <c r="A12" s="34" t="s">
        <v>113</v>
      </c>
      <c r="B12" s="34" t="s">
        <v>114</v>
      </c>
      <c r="C12" s="34" t="s">
        <v>129</v>
      </c>
      <c r="D12" s="34" t="s">
        <v>130</v>
      </c>
      <c r="E12" s="34" t="s">
        <v>131</v>
      </c>
      <c r="F12" s="34" t="s">
        <v>965</v>
      </c>
    </row>
    <row r="13">
      <c r="A13" s="34" t="s">
        <v>113</v>
      </c>
      <c r="B13" s="34" t="s">
        <v>114</v>
      </c>
      <c r="C13" s="34" t="s">
        <v>135</v>
      </c>
      <c r="D13" s="34" t="s">
        <v>136</v>
      </c>
      <c r="E13" s="34" t="s">
        <v>139</v>
      </c>
      <c r="F13" s="34" t="s">
        <v>965</v>
      </c>
    </row>
    <row r="14">
      <c r="A14" s="34" t="s">
        <v>113</v>
      </c>
      <c r="B14" s="34" t="s">
        <v>114</v>
      </c>
      <c r="C14" s="34" t="s">
        <v>147</v>
      </c>
      <c r="D14" s="34" t="s">
        <v>148</v>
      </c>
      <c r="E14" s="34" t="s">
        <v>118</v>
      </c>
      <c r="F14" s="34" t="s">
        <v>965</v>
      </c>
    </row>
    <row r="15">
      <c r="A15" s="34" t="s">
        <v>113</v>
      </c>
      <c r="B15" s="34" t="s">
        <v>114</v>
      </c>
      <c r="C15" s="34" t="s">
        <v>156</v>
      </c>
      <c r="D15" s="34" t="s">
        <v>157</v>
      </c>
      <c r="E15" s="34" t="s">
        <v>107</v>
      </c>
      <c r="F15" s="34" t="s">
        <v>965</v>
      </c>
    </row>
    <row r="16">
      <c r="A16" s="34" t="s">
        <v>113</v>
      </c>
      <c r="B16" s="34" t="s">
        <v>114</v>
      </c>
      <c r="C16" s="34" t="s">
        <v>167</v>
      </c>
      <c r="D16" s="34" t="s">
        <v>168</v>
      </c>
      <c r="E16" s="34" t="s">
        <v>118</v>
      </c>
      <c r="F16" s="34" t="s">
        <v>965</v>
      </c>
    </row>
    <row r="17">
      <c r="A17" s="34" t="s">
        <v>113</v>
      </c>
      <c r="B17" s="34" t="s">
        <v>114</v>
      </c>
      <c r="C17" s="34" t="s">
        <v>174</v>
      </c>
      <c r="D17" s="34" t="s">
        <v>175</v>
      </c>
      <c r="E17" s="34" t="s">
        <v>118</v>
      </c>
      <c r="F17" s="34" t="s">
        <v>965</v>
      </c>
    </row>
    <row r="18">
      <c r="A18" s="34" t="s">
        <v>113</v>
      </c>
      <c r="B18" s="34" t="s">
        <v>114</v>
      </c>
      <c r="C18" s="34" t="s">
        <v>184</v>
      </c>
      <c r="D18" s="34" t="s">
        <v>185</v>
      </c>
      <c r="E18" s="34" t="s">
        <v>131</v>
      </c>
      <c r="F18" s="34" t="s">
        <v>965</v>
      </c>
    </row>
    <row r="19">
      <c r="A19" s="34" t="s">
        <v>113</v>
      </c>
      <c r="B19" s="34" t="s">
        <v>114</v>
      </c>
      <c r="C19" s="34" t="s">
        <v>193</v>
      </c>
      <c r="D19" s="34" t="s">
        <v>194</v>
      </c>
      <c r="E19" s="34" t="s">
        <v>83</v>
      </c>
      <c r="F19" s="34" t="s">
        <v>965</v>
      </c>
    </row>
    <row r="20">
      <c r="A20" s="34" t="s">
        <v>113</v>
      </c>
      <c r="B20" s="34" t="s">
        <v>114</v>
      </c>
      <c r="C20" s="34" t="s">
        <v>202</v>
      </c>
      <c r="D20" s="34" t="s">
        <v>203</v>
      </c>
      <c r="E20" s="34" t="s">
        <v>100</v>
      </c>
      <c r="F20" s="34" t="s">
        <v>965</v>
      </c>
    </row>
    <row r="21" ht="15.75" customHeight="1">
      <c r="A21" s="34" t="s">
        <v>113</v>
      </c>
      <c r="B21" s="34" t="s">
        <v>114</v>
      </c>
      <c r="C21" s="34" t="s">
        <v>209</v>
      </c>
      <c r="D21" s="34" t="s">
        <v>210</v>
      </c>
      <c r="E21" s="34" t="s">
        <v>131</v>
      </c>
      <c r="F21" s="34" t="s">
        <v>965</v>
      </c>
    </row>
    <row r="22" ht="15.75" customHeight="1">
      <c r="A22" s="34" t="s">
        <v>113</v>
      </c>
      <c r="B22" s="34" t="s">
        <v>114</v>
      </c>
      <c r="C22" s="34" t="s">
        <v>216</v>
      </c>
      <c r="D22" s="34" t="s">
        <v>217</v>
      </c>
      <c r="E22" s="34" t="s">
        <v>118</v>
      </c>
      <c r="F22" s="34" t="s">
        <v>965</v>
      </c>
    </row>
    <row r="23" ht="15.75" customHeight="1">
      <c r="A23" s="34" t="s">
        <v>113</v>
      </c>
      <c r="B23" s="34" t="s">
        <v>114</v>
      </c>
      <c r="C23" s="34" t="s">
        <v>225</v>
      </c>
      <c r="D23" s="34" t="s">
        <v>226</v>
      </c>
      <c r="E23" s="34" t="s">
        <v>107</v>
      </c>
      <c r="F23" s="34" t="s">
        <v>965</v>
      </c>
    </row>
    <row r="24" ht="15.75" customHeight="1">
      <c r="A24" s="34" t="s">
        <v>787</v>
      </c>
      <c r="B24" s="34" t="s">
        <v>808</v>
      </c>
      <c r="C24" s="34" t="s">
        <v>788</v>
      </c>
      <c r="D24" s="34" t="s">
        <v>1219</v>
      </c>
      <c r="E24" s="34" t="s">
        <v>839</v>
      </c>
      <c r="F24" s="34" t="s">
        <v>965</v>
      </c>
    </row>
    <row r="25" ht="15.75" customHeight="1">
      <c r="A25" s="34" t="s">
        <v>787</v>
      </c>
      <c r="B25" s="34" t="s">
        <v>808</v>
      </c>
      <c r="C25" s="34" t="s">
        <v>790</v>
      </c>
      <c r="D25" s="34" t="s">
        <v>1223</v>
      </c>
      <c r="E25" s="34" t="s">
        <v>839</v>
      </c>
      <c r="F25" s="34" t="s">
        <v>965</v>
      </c>
    </row>
    <row r="26" ht="15.75" customHeight="1">
      <c r="A26" s="34" t="s">
        <v>787</v>
      </c>
      <c r="B26" s="34" t="s">
        <v>808</v>
      </c>
      <c r="C26" s="34" t="s">
        <v>792</v>
      </c>
      <c r="D26" s="34" t="s">
        <v>1224</v>
      </c>
      <c r="E26" s="34" t="s">
        <v>839</v>
      </c>
      <c r="F26" s="34" t="s">
        <v>965</v>
      </c>
    </row>
    <row r="27" ht="15.75" customHeight="1">
      <c r="A27" s="34" t="s">
        <v>787</v>
      </c>
      <c r="B27" s="34" t="s">
        <v>808</v>
      </c>
      <c r="C27" s="34" t="s">
        <v>794</v>
      </c>
      <c r="D27" s="34" t="s">
        <v>1225</v>
      </c>
      <c r="E27" s="34" t="s">
        <v>839</v>
      </c>
      <c r="F27" s="34" t="s">
        <v>965</v>
      </c>
    </row>
    <row r="28" ht="15.75" customHeight="1">
      <c r="A28" s="34" t="s">
        <v>232</v>
      </c>
      <c r="B28" s="34" t="s">
        <v>233</v>
      </c>
      <c r="C28" s="34" t="s">
        <v>234</v>
      </c>
      <c r="D28" s="34" t="s">
        <v>235</v>
      </c>
      <c r="E28" s="34" t="s">
        <v>83</v>
      </c>
      <c r="F28" s="34" t="s">
        <v>965</v>
      </c>
    </row>
    <row r="29" ht="15.75" customHeight="1">
      <c r="A29" s="34" t="s">
        <v>232</v>
      </c>
      <c r="B29" s="34" t="s">
        <v>233</v>
      </c>
      <c r="C29" s="34" t="s">
        <v>840</v>
      </c>
      <c r="D29" s="34" t="s">
        <v>1227</v>
      </c>
      <c r="E29" s="34" t="s">
        <v>841</v>
      </c>
      <c r="F29" s="34" t="s">
        <v>965</v>
      </c>
    </row>
    <row r="30" ht="15.75" customHeight="1">
      <c r="A30" s="34" t="s">
        <v>232</v>
      </c>
      <c r="B30" s="34" t="s">
        <v>233</v>
      </c>
      <c r="C30" s="34" t="s">
        <v>842</v>
      </c>
      <c r="D30" s="34" t="s">
        <v>1229</v>
      </c>
      <c r="E30" s="34" t="s">
        <v>118</v>
      </c>
      <c r="F30" s="34" t="s">
        <v>965</v>
      </c>
    </row>
    <row r="31" ht="15.75" customHeight="1">
      <c r="A31" s="34" t="s">
        <v>232</v>
      </c>
      <c r="B31" s="34" t="s">
        <v>233</v>
      </c>
      <c r="C31" s="34" t="s">
        <v>843</v>
      </c>
      <c r="D31" s="34" t="s">
        <v>1232</v>
      </c>
      <c r="E31" s="34" t="s">
        <v>118</v>
      </c>
      <c r="F31" s="34" t="s">
        <v>965</v>
      </c>
    </row>
    <row r="32" ht="15.75" customHeight="1">
      <c r="A32" s="34" t="s">
        <v>232</v>
      </c>
      <c r="B32" s="34" t="s">
        <v>233</v>
      </c>
      <c r="C32" s="34" t="s">
        <v>844</v>
      </c>
      <c r="D32" s="34" t="s">
        <v>1234</v>
      </c>
      <c r="E32" s="34" t="s">
        <v>845</v>
      </c>
      <c r="F32" s="34" t="s">
        <v>965</v>
      </c>
    </row>
    <row r="33" ht="15.75" customHeight="1">
      <c r="A33" s="34" t="s">
        <v>232</v>
      </c>
      <c r="B33" s="34" t="s">
        <v>233</v>
      </c>
      <c r="C33" s="34" t="s">
        <v>846</v>
      </c>
      <c r="D33" s="34" t="s">
        <v>1237</v>
      </c>
      <c r="E33" s="34" t="s">
        <v>847</v>
      </c>
      <c r="F33" s="34" t="s">
        <v>965</v>
      </c>
    </row>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2"/>
  </mergeCells>
  <printOptions/>
  <pageMargins bottom="0.75" footer="0.0" header="0.0" left="0.7" right="0.7" top="0.75"/>
  <pageSetup orientation="landscape"/>
  <drawing r:id="rId1"/>
  <tableParts count="1">
    <tablePart r:id="rId3"/>
  </tableParts>
</worksheet>
</file>

<file path=xl/worksheets/sheet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0.1" defaultRowHeight="15.0"/>
  <cols>
    <col customWidth="1" min="1" max="1" width="16.0"/>
    <col customWidth="1" min="2" max="2" width="23.2"/>
    <col customWidth="1" min="3" max="3" width="44.0"/>
    <col customWidth="1" min="4" max="4" width="32.0"/>
    <col customWidth="1" min="5" max="5" width="38.4"/>
    <col customWidth="1" min="6" max="6" width="40.0"/>
    <col customWidth="1" min="7" max="26" width="6.9"/>
  </cols>
  <sheetData>
    <row r="1" ht="27.75" customHeight="1">
      <c r="A1" s="29" t="s">
        <v>1291</v>
      </c>
    </row>
    <row r="2" ht="37.5" customHeight="1">
      <c r="A2" s="30" t="s">
        <v>1292</v>
      </c>
    </row>
    <row r="3">
      <c r="A3" s="4"/>
      <c r="B3" s="4"/>
      <c r="C3" s="4"/>
      <c r="D3" s="4"/>
      <c r="E3" s="4"/>
      <c r="F3" s="4"/>
    </row>
    <row r="4" ht="37.5" customHeight="1">
      <c r="A4" s="76" t="s">
        <v>1124</v>
      </c>
      <c r="B4" s="76" t="s">
        <v>1293</v>
      </c>
      <c r="C4" s="4"/>
      <c r="D4" s="4"/>
      <c r="E4" s="4"/>
      <c r="F4" s="4"/>
    </row>
    <row r="5">
      <c r="A5" s="77" t="s">
        <v>1294</v>
      </c>
      <c r="B5" s="70" t="str">
        <f>COUNTIF('Master Models'!A5:A92,"Google")</f>
        <v>#REF!</v>
      </c>
      <c r="C5" s="4"/>
      <c r="D5" s="4"/>
      <c r="E5" s="4"/>
      <c r="F5" s="4"/>
    </row>
    <row r="6">
      <c r="A6" s="77" t="s">
        <v>1295</v>
      </c>
      <c r="B6" s="70">
        <f>COUNTA(Benchmarks!A5:A200)</f>
        <v>196</v>
      </c>
      <c r="C6" s="4"/>
      <c r="D6" s="4"/>
      <c r="E6" s="4"/>
      <c r="F6" s="4"/>
    </row>
    <row r="7">
      <c r="A7" s="77" t="s">
        <v>1296</v>
      </c>
      <c r="B7" s="70">
        <f>COUNTA('Provider Limits'!A5:A100)</f>
        <v>61</v>
      </c>
      <c r="C7" s="4"/>
      <c r="D7" s="4"/>
      <c r="E7" s="4"/>
      <c r="F7" s="4"/>
    </row>
    <row r="8">
      <c r="A8" s="77" t="s">
        <v>1197</v>
      </c>
      <c r="B8" s="70">
        <v>37.0</v>
      </c>
      <c r="C8" s="4"/>
      <c r="D8" s="4"/>
      <c r="E8" s="4"/>
      <c r="F8" s="4"/>
    </row>
    <row r="9">
      <c r="A9" s="77" t="s">
        <v>1297</v>
      </c>
      <c r="B9" s="72" t="s">
        <v>1298</v>
      </c>
      <c r="C9" s="4"/>
      <c r="D9" s="4"/>
      <c r="E9" s="4"/>
      <c r="F9" s="4"/>
    </row>
    <row r="10">
      <c r="A10" s="77" t="s">
        <v>1299</v>
      </c>
      <c r="B10" s="70" t="s">
        <v>1300</v>
      </c>
      <c r="C10" s="4"/>
      <c r="D10" s="4"/>
      <c r="E10" s="4"/>
      <c r="F10" s="4"/>
    </row>
    <row r="11">
      <c r="A11" s="4"/>
      <c r="B11" s="4"/>
      <c r="C11" s="4"/>
      <c r="D11" s="4"/>
      <c r="E11" s="4"/>
      <c r="F11" s="4"/>
    </row>
    <row r="12">
      <c r="A12" s="4"/>
      <c r="B12" s="4"/>
      <c r="C12" s="4"/>
      <c r="D12" s="4"/>
      <c r="E12" s="4"/>
      <c r="F12" s="4"/>
    </row>
    <row r="13" ht="37.5" customHeight="1">
      <c r="A13" s="31" t="s">
        <v>1301</v>
      </c>
      <c r="B13" s="31" t="s">
        <v>1302</v>
      </c>
      <c r="C13" s="31" t="s">
        <v>1303</v>
      </c>
      <c r="D13" s="31" t="s">
        <v>1304</v>
      </c>
      <c r="E13" s="31" t="s">
        <v>1305</v>
      </c>
      <c r="F13" s="31" t="s">
        <v>1306</v>
      </c>
    </row>
    <row r="14">
      <c r="A14" s="34" t="s">
        <v>1294</v>
      </c>
      <c r="B14" s="34" t="s">
        <v>1307</v>
      </c>
      <c r="C14" s="34" t="s">
        <v>1308</v>
      </c>
      <c r="D14" s="34" t="s">
        <v>1309</v>
      </c>
      <c r="E14" s="34" t="s">
        <v>1310</v>
      </c>
      <c r="F14" s="34" t="s">
        <v>1311</v>
      </c>
    </row>
    <row r="15">
      <c r="A15" s="34" t="s">
        <v>1294</v>
      </c>
      <c r="B15" s="34" t="s">
        <v>266</v>
      </c>
      <c r="C15" s="34" t="s">
        <v>1312</v>
      </c>
      <c r="D15" s="34" t="s">
        <v>1313</v>
      </c>
      <c r="E15" s="34" t="s">
        <v>1314</v>
      </c>
      <c r="F15" s="34" t="s">
        <v>1315</v>
      </c>
    </row>
    <row r="16">
      <c r="A16" s="34" t="s">
        <v>1316</v>
      </c>
      <c r="B16" s="34" t="s">
        <v>1317</v>
      </c>
      <c r="C16" s="34" t="s">
        <v>1318</v>
      </c>
      <c r="D16" s="34" t="s">
        <v>1319</v>
      </c>
      <c r="E16" s="34" t="s">
        <v>1320</v>
      </c>
      <c r="F16" s="34" t="s">
        <v>917</v>
      </c>
    </row>
    <row r="17">
      <c r="A17" s="34" t="s">
        <v>1316</v>
      </c>
      <c r="B17" s="34" t="s">
        <v>1321</v>
      </c>
      <c r="C17" s="34" t="s">
        <v>1322</v>
      </c>
      <c r="D17" s="34" t="s">
        <v>1319</v>
      </c>
      <c r="E17" s="34" t="s">
        <v>1323</v>
      </c>
      <c r="F17" s="34" t="s">
        <v>917</v>
      </c>
    </row>
    <row r="18">
      <c r="A18" s="34" t="s">
        <v>1316</v>
      </c>
      <c r="B18" s="34" t="s">
        <v>1324</v>
      </c>
      <c r="C18" s="34" t="s">
        <v>1325</v>
      </c>
      <c r="D18" s="34" t="s">
        <v>1319</v>
      </c>
      <c r="E18" s="34" t="s">
        <v>1326</v>
      </c>
      <c r="F18" s="34" t="s">
        <v>917</v>
      </c>
    </row>
    <row r="19">
      <c r="A19" s="34" t="s">
        <v>1327</v>
      </c>
      <c r="B19" s="34" t="s">
        <v>1328</v>
      </c>
      <c r="C19" s="34" t="s">
        <v>1329</v>
      </c>
      <c r="D19" s="34" t="s">
        <v>1330</v>
      </c>
      <c r="E19" s="34" t="s">
        <v>1331</v>
      </c>
      <c r="F19" s="34" t="s">
        <v>917</v>
      </c>
    </row>
    <row r="20">
      <c r="A20" s="34" t="s">
        <v>1332</v>
      </c>
      <c r="B20" s="34" t="s">
        <v>1333</v>
      </c>
      <c r="C20" s="34" t="s">
        <v>1334</v>
      </c>
      <c r="D20" s="34" t="s">
        <v>1335</v>
      </c>
      <c r="E20" s="34" t="s">
        <v>1336</v>
      </c>
      <c r="F20" s="34" t="s">
        <v>520</v>
      </c>
    </row>
    <row r="21" ht="15.75" customHeight="1">
      <c r="A21" s="34" t="s">
        <v>1332</v>
      </c>
      <c r="B21" s="34" t="s">
        <v>1337</v>
      </c>
      <c r="C21" s="34" t="s">
        <v>1338</v>
      </c>
      <c r="D21" s="34" t="s">
        <v>1339</v>
      </c>
      <c r="E21" s="34" t="s">
        <v>1340</v>
      </c>
      <c r="F21" s="34" t="s">
        <v>516</v>
      </c>
    </row>
    <row r="22" ht="15.75" customHeight="1">
      <c r="A22" s="34" t="s">
        <v>1332</v>
      </c>
      <c r="B22" s="34" t="s">
        <v>479</v>
      </c>
      <c r="C22" s="34" t="s">
        <v>1341</v>
      </c>
      <c r="D22" s="34" t="s">
        <v>1342</v>
      </c>
      <c r="E22" s="34" t="s">
        <v>1343</v>
      </c>
      <c r="F22" s="34" t="s">
        <v>263</v>
      </c>
    </row>
    <row r="23" ht="15.75" customHeight="1">
      <c r="A23" s="34" t="s">
        <v>1344</v>
      </c>
      <c r="B23" s="34" t="s">
        <v>1345</v>
      </c>
      <c r="C23" s="34" t="s">
        <v>1346</v>
      </c>
      <c r="D23" s="34" t="s">
        <v>1319</v>
      </c>
      <c r="E23" s="34" t="s">
        <v>1347</v>
      </c>
      <c r="F23" s="34" t="s">
        <v>1348</v>
      </c>
    </row>
    <row r="24" ht="15.75" customHeight="1">
      <c r="A24" s="34" t="s">
        <v>1349</v>
      </c>
      <c r="B24" s="34" t="s">
        <v>1350</v>
      </c>
      <c r="C24" s="34" t="s">
        <v>1351</v>
      </c>
      <c r="D24" s="34" t="s">
        <v>1352</v>
      </c>
      <c r="E24" s="34" t="s">
        <v>1353</v>
      </c>
      <c r="F24" s="34" t="s">
        <v>965</v>
      </c>
    </row>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2"/>
  </mergeCells>
  <printOptions/>
  <pageMargins bottom="0.75" footer="0.0" header="0.0" left="0.7" right="0.7" top="0.75"/>
  <pageSetup orientation="landscape"/>
  <drawing r:id="rId1"/>
  <tableParts count="1">
    <tablePart r:id="rId3"/>
  </tableParts>
</worksheet>
</file>

<file path=xl/worksheets/sheet10.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0.1" defaultRowHeight="15.0"/>
  <cols>
    <col customWidth="1" min="1" max="1" width="11.2"/>
    <col customWidth="1" min="2" max="3" width="27.2"/>
    <col customWidth="1" min="4" max="4" width="37.6"/>
    <col customWidth="1" min="5" max="5" width="23.2"/>
    <col customWidth="1" min="6" max="6" width="9.6"/>
    <col customWidth="1" min="7" max="7" width="33.6"/>
    <col customWidth="1" min="8" max="10" width="10.4"/>
    <col customWidth="1" min="11" max="12" width="20.0"/>
    <col customWidth="1" min="13" max="13" width="34.4"/>
    <col customWidth="1" min="14" max="16" width="9.6"/>
    <col customWidth="1" min="17" max="18" width="36.0"/>
    <col customWidth="1" min="19" max="19" width="40.0"/>
    <col customWidth="1" min="20" max="20" width="41.6"/>
    <col customWidth="1" min="21" max="26" width="6.9"/>
  </cols>
  <sheetData>
    <row r="1" ht="27.75" customHeight="1">
      <c r="A1" s="1" t="s">
        <v>1354</v>
      </c>
    </row>
    <row r="2" ht="37.5" customHeight="1">
      <c r="A2" s="36" t="s">
        <v>1355</v>
      </c>
    </row>
    <row r="4" ht="37.5" customHeight="1">
      <c r="A4" s="59" t="s">
        <v>1356</v>
      </c>
      <c r="B4" s="59" t="s">
        <v>1357</v>
      </c>
      <c r="C4" s="59" t="s">
        <v>4</v>
      </c>
      <c r="D4" s="59" t="s">
        <v>1212</v>
      </c>
      <c r="E4" s="59" t="s">
        <v>377</v>
      </c>
      <c r="F4" s="59" t="s">
        <v>9</v>
      </c>
      <c r="G4" s="59" t="s">
        <v>1176</v>
      </c>
      <c r="H4" s="59" t="s">
        <v>1358</v>
      </c>
      <c r="I4" s="59" t="s">
        <v>1359</v>
      </c>
      <c r="J4" s="59" t="s">
        <v>380</v>
      </c>
      <c r="K4" s="59" t="s">
        <v>1360</v>
      </c>
      <c r="L4" s="59" t="s">
        <v>383</v>
      </c>
      <c r="M4" s="59" t="s">
        <v>1361</v>
      </c>
      <c r="N4" s="59" t="s">
        <v>27</v>
      </c>
      <c r="O4" s="59" t="s">
        <v>1362</v>
      </c>
      <c r="P4" s="59" t="s">
        <v>30</v>
      </c>
      <c r="Q4" s="59" t="s">
        <v>389</v>
      </c>
      <c r="R4" s="59" t="s">
        <v>1363</v>
      </c>
      <c r="S4" s="59" t="s">
        <v>802</v>
      </c>
      <c r="T4" s="59" t="s">
        <v>391</v>
      </c>
    </row>
    <row r="5">
      <c r="A5" s="32" t="s">
        <v>555</v>
      </c>
      <c r="B5" s="32" t="s">
        <v>815</v>
      </c>
      <c r="C5" s="32" t="s">
        <v>556</v>
      </c>
      <c r="D5" s="32" t="s">
        <v>1242</v>
      </c>
      <c r="E5" s="32" t="s">
        <v>1364</v>
      </c>
      <c r="F5" s="33">
        <v>46140.0</v>
      </c>
      <c r="G5" s="34" t="s">
        <v>1365</v>
      </c>
      <c r="H5" s="34" t="s">
        <v>1366</v>
      </c>
      <c r="I5" s="34" t="s">
        <v>1366</v>
      </c>
      <c r="J5" s="34">
        <v>262144.0</v>
      </c>
      <c r="K5" s="34" t="s">
        <v>495</v>
      </c>
      <c r="L5" s="34" t="s">
        <v>1367</v>
      </c>
      <c r="M5" s="34" t="s">
        <v>1368</v>
      </c>
      <c r="N5" s="35">
        <v>1.5</v>
      </c>
      <c r="O5" s="35">
        <v>0.15</v>
      </c>
      <c r="P5" s="35">
        <v>7.5</v>
      </c>
      <c r="Q5" s="34" t="s">
        <v>1369</v>
      </c>
      <c r="R5" s="34"/>
      <c r="S5" s="34" t="s">
        <v>851</v>
      </c>
      <c r="T5" s="34" t="s">
        <v>1370</v>
      </c>
    </row>
    <row r="6">
      <c r="A6" s="32" t="s">
        <v>555</v>
      </c>
      <c r="B6" s="32" t="s">
        <v>815</v>
      </c>
      <c r="C6" s="32" t="s">
        <v>565</v>
      </c>
      <c r="D6" s="32" t="s">
        <v>1245</v>
      </c>
      <c r="E6" s="32" t="s">
        <v>118</v>
      </c>
      <c r="F6" s="33">
        <v>46097.0</v>
      </c>
      <c r="G6" s="34" t="s">
        <v>1371</v>
      </c>
      <c r="H6" s="34" t="s">
        <v>1372</v>
      </c>
      <c r="I6" s="34" t="s">
        <v>1373</v>
      </c>
      <c r="J6" s="34">
        <v>262144.0</v>
      </c>
      <c r="K6" s="34" t="s">
        <v>495</v>
      </c>
      <c r="L6" s="34" t="s">
        <v>1374</v>
      </c>
      <c r="M6" s="34" t="s">
        <v>1375</v>
      </c>
      <c r="N6" s="35">
        <v>0.15</v>
      </c>
      <c r="O6" s="35">
        <v>0.015</v>
      </c>
      <c r="P6" s="35">
        <v>0.6</v>
      </c>
      <c r="Q6" s="34" t="s">
        <v>1376</v>
      </c>
      <c r="R6" s="34"/>
      <c r="S6" s="34" t="s">
        <v>853</v>
      </c>
      <c r="T6" s="34" t="s">
        <v>1377</v>
      </c>
    </row>
    <row r="7">
      <c r="A7" s="32" t="s">
        <v>555</v>
      </c>
      <c r="B7" s="32" t="s">
        <v>815</v>
      </c>
      <c r="C7" s="32" t="s">
        <v>581</v>
      </c>
      <c r="D7" s="32" t="s">
        <v>1246</v>
      </c>
      <c r="E7" s="32" t="s">
        <v>118</v>
      </c>
      <c r="F7" s="33">
        <v>45993.0</v>
      </c>
      <c r="G7" s="34" t="s">
        <v>1378</v>
      </c>
      <c r="H7" s="34" t="s">
        <v>1379</v>
      </c>
      <c r="I7" s="34" t="s">
        <v>1380</v>
      </c>
      <c r="J7" s="34">
        <v>262144.0</v>
      </c>
      <c r="K7" s="34" t="s">
        <v>495</v>
      </c>
      <c r="L7" s="34" t="s">
        <v>1381</v>
      </c>
      <c r="M7" s="34" t="s">
        <v>1375</v>
      </c>
      <c r="N7" s="35">
        <v>0.5</v>
      </c>
      <c r="O7" s="35">
        <v>0.05</v>
      </c>
      <c r="P7" s="35">
        <v>1.5</v>
      </c>
      <c r="Q7" s="34" t="s">
        <v>1382</v>
      </c>
      <c r="R7" s="34"/>
      <c r="S7" s="34" t="s">
        <v>854</v>
      </c>
      <c r="T7" s="34" t="s">
        <v>1383</v>
      </c>
    </row>
    <row r="8">
      <c r="A8" s="32" t="s">
        <v>555</v>
      </c>
      <c r="B8" s="32" t="s">
        <v>1247</v>
      </c>
      <c r="C8" s="32" t="s">
        <v>587</v>
      </c>
      <c r="D8" s="32" t="s">
        <v>1248</v>
      </c>
      <c r="E8" s="32" t="s">
        <v>856</v>
      </c>
      <c r="F8" s="33">
        <v>45868.0</v>
      </c>
      <c r="G8" s="34" t="s">
        <v>396</v>
      </c>
      <c r="H8" s="34" t="s">
        <v>396</v>
      </c>
      <c r="I8" s="34" t="s">
        <v>396</v>
      </c>
      <c r="J8" s="34">
        <v>131072.0</v>
      </c>
      <c r="K8" s="34" t="s">
        <v>1384</v>
      </c>
      <c r="L8" s="34" t="s">
        <v>1385</v>
      </c>
      <c r="M8" s="34" t="s">
        <v>1386</v>
      </c>
      <c r="N8" s="35">
        <v>0.3</v>
      </c>
      <c r="O8" s="35">
        <v>0.03</v>
      </c>
      <c r="P8" s="35">
        <v>0.9</v>
      </c>
      <c r="Q8" s="34" t="s">
        <v>1387</v>
      </c>
      <c r="R8" s="34"/>
      <c r="S8" s="34" t="s">
        <v>857</v>
      </c>
      <c r="T8" s="34" t="s">
        <v>1388</v>
      </c>
    </row>
    <row r="9">
      <c r="A9" s="32" t="s">
        <v>555</v>
      </c>
      <c r="B9" s="32" t="s">
        <v>815</v>
      </c>
      <c r="C9" s="32" t="s">
        <v>599</v>
      </c>
      <c r="D9" s="32" t="s">
        <v>1250</v>
      </c>
      <c r="E9" s="32" t="s">
        <v>1251</v>
      </c>
      <c r="F9" s="33">
        <v>46000.0</v>
      </c>
      <c r="G9" s="34" t="s">
        <v>1365</v>
      </c>
      <c r="H9" s="34" t="s">
        <v>1389</v>
      </c>
      <c r="I9" s="34" t="s">
        <v>1389</v>
      </c>
      <c r="J9" s="34">
        <v>262144.0</v>
      </c>
      <c r="K9" s="34" t="s">
        <v>1384</v>
      </c>
      <c r="L9" s="34" t="s">
        <v>1390</v>
      </c>
      <c r="M9" s="34" t="s">
        <v>1375</v>
      </c>
      <c r="N9" s="35">
        <v>0.4</v>
      </c>
      <c r="O9" s="35">
        <v>0.04</v>
      </c>
      <c r="P9" s="35">
        <v>2.0</v>
      </c>
      <c r="Q9" s="34" t="s">
        <v>1391</v>
      </c>
      <c r="R9" s="34"/>
      <c r="S9" s="34" t="s">
        <v>993</v>
      </c>
      <c r="T9" s="34" t="s">
        <v>1392</v>
      </c>
    </row>
    <row r="10">
      <c r="A10" s="32" t="s">
        <v>283</v>
      </c>
      <c r="B10" s="32" t="s">
        <v>1261</v>
      </c>
      <c r="C10" s="32" t="s">
        <v>285</v>
      </c>
      <c r="D10" s="32" t="s">
        <v>286</v>
      </c>
      <c r="E10" s="32" t="s">
        <v>118</v>
      </c>
      <c r="F10" s="33">
        <v>46177.0</v>
      </c>
      <c r="G10" s="34" t="s">
        <v>1393</v>
      </c>
      <c r="H10" s="34" t="s">
        <v>1394</v>
      </c>
      <c r="I10" s="34" t="s">
        <v>1395</v>
      </c>
      <c r="J10" s="34">
        <v>1048576.0</v>
      </c>
      <c r="K10" s="34" t="s">
        <v>1384</v>
      </c>
      <c r="L10" s="34" t="s">
        <v>1396</v>
      </c>
      <c r="M10" s="34" t="s">
        <v>1397</v>
      </c>
      <c r="N10" s="35"/>
      <c r="O10" s="35"/>
      <c r="P10" s="35"/>
      <c r="Q10" s="34" t="s">
        <v>1398</v>
      </c>
      <c r="R10" s="34" t="s">
        <v>1399</v>
      </c>
      <c r="S10" s="34" t="s">
        <v>299</v>
      </c>
      <c r="T10" s="34" t="s">
        <v>1400</v>
      </c>
    </row>
    <row r="11">
      <c r="A11" s="32" t="s">
        <v>283</v>
      </c>
      <c r="B11" s="32" t="s">
        <v>1261</v>
      </c>
      <c r="C11" s="32" t="s">
        <v>302</v>
      </c>
      <c r="D11" s="32" t="s">
        <v>303</v>
      </c>
      <c r="E11" s="32" t="s">
        <v>118</v>
      </c>
      <c r="F11" s="33">
        <v>46092.0</v>
      </c>
      <c r="G11" s="34" t="s">
        <v>1393</v>
      </c>
      <c r="H11" s="34" t="s">
        <v>1401</v>
      </c>
      <c r="I11" s="34" t="s">
        <v>1402</v>
      </c>
      <c r="J11" s="34">
        <v>1048576.0</v>
      </c>
      <c r="K11" s="34" t="s">
        <v>1384</v>
      </c>
      <c r="L11" s="34" t="s">
        <v>1403</v>
      </c>
      <c r="M11" s="34" t="s">
        <v>1404</v>
      </c>
      <c r="N11" s="35"/>
      <c r="O11" s="35"/>
      <c r="P11" s="35"/>
      <c r="Q11" s="34" t="s">
        <v>1405</v>
      </c>
      <c r="R11" s="34" t="s">
        <v>1406</v>
      </c>
      <c r="S11" s="34" t="s">
        <v>312</v>
      </c>
      <c r="T11" s="34" t="s">
        <v>1407</v>
      </c>
    </row>
    <row r="12">
      <c r="A12" s="32" t="s">
        <v>283</v>
      </c>
      <c r="B12" s="32" t="s">
        <v>1261</v>
      </c>
      <c r="C12" s="32" t="s">
        <v>314</v>
      </c>
      <c r="D12" s="32" t="s">
        <v>315</v>
      </c>
      <c r="E12" s="32" t="s">
        <v>118</v>
      </c>
      <c r="F12" s="33">
        <v>46006.0</v>
      </c>
      <c r="G12" s="34" t="s">
        <v>1408</v>
      </c>
      <c r="H12" s="34" t="s">
        <v>1409</v>
      </c>
      <c r="I12" s="34" t="s">
        <v>1410</v>
      </c>
      <c r="J12" s="34">
        <v>1048576.0</v>
      </c>
      <c r="K12" s="34" t="s">
        <v>1384</v>
      </c>
      <c r="L12" s="34" t="s">
        <v>1396</v>
      </c>
      <c r="M12" s="34" t="s">
        <v>1411</v>
      </c>
      <c r="N12" s="35"/>
      <c r="O12" s="35"/>
      <c r="P12" s="35"/>
      <c r="Q12" s="34" t="s">
        <v>1412</v>
      </c>
      <c r="R12" s="34" t="s">
        <v>1413</v>
      </c>
      <c r="S12" s="34" t="s">
        <v>323</v>
      </c>
      <c r="T12" s="34" t="s">
        <v>1414</v>
      </c>
    </row>
    <row r="13">
      <c r="A13" s="32" t="s">
        <v>283</v>
      </c>
      <c r="B13" s="32" t="s">
        <v>1261</v>
      </c>
      <c r="C13" s="32" t="s">
        <v>325</v>
      </c>
      <c r="D13" s="32" t="s">
        <v>326</v>
      </c>
      <c r="E13" s="32" t="s">
        <v>118</v>
      </c>
      <c r="F13" s="33">
        <v>46140.0</v>
      </c>
      <c r="G13" s="34" t="s">
        <v>1415</v>
      </c>
      <c r="H13" s="34" t="s">
        <v>1416</v>
      </c>
      <c r="I13" s="34" t="s">
        <v>1410</v>
      </c>
      <c r="J13" s="34">
        <v>262144.0</v>
      </c>
      <c r="K13" s="34" t="s">
        <v>1417</v>
      </c>
      <c r="L13" s="34" t="s">
        <v>1418</v>
      </c>
      <c r="M13" s="34" t="s">
        <v>1419</v>
      </c>
      <c r="N13" s="35"/>
      <c r="O13" s="35"/>
      <c r="P13" s="35"/>
      <c r="Q13" s="34" t="s">
        <v>1420</v>
      </c>
      <c r="R13" s="34" t="s">
        <v>1421</v>
      </c>
      <c r="S13" s="34" t="s">
        <v>337</v>
      </c>
      <c r="T13" s="34" t="s">
        <v>1422</v>
      </c>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T1"/>
    <mergeCell ref="A2:T2"/>
  </mergeCells>
  <printOptions/>
  <pageMargins bottom="0.75" footer="0.0" header="0.0" left="0.7" right="0.7" top="0.75"/>
  <pageSetup orientation="landscape"/>
  <drawing r:id="rId1"/>
  <tableParts count="1">
    <tablePart r:id="rId3"/>
  </tableParts>
</worksheet>
</file>

<file path=xl/worksheets/sheet1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0.1" defaultRowHeight="15.0"/>
  <cols>
    <col customWidth="1" min="1" max="1" width="16.8"/>
    <col customWidth="1" min="2" max="2" width="25.6"/>
    <col customWidth="1" min="3" max="3" width="46.4"/>
    <col customWidth="1" min="4" max="4" width="34.4"/>
    <col customWidth="1" min="5" max="6" width="41.6"/>
    <col customWidth="1" min="7" max="26" width="6.9"/>
  </cols>
  <sheetData>
    <row r="1" ht="27.75" customHeight="1">
      <c r="A1" s="1" t="s">
        <v>1423</v>
      </c>
    </row>
    <row r="2" ht="37.5" customHeight="1">
      <c r="A2" s="36" t="s">
        <v>1424</v>
      </c>
    </row>
    <row r="4" ht="37.5" customHeight="1">
      <c r="A4" s="69" t="s">
        <v>1124</v>
      </c>
      <c r="B4" s="69" t="s">
        <v>1293</v>
      </c>
    </row>
    <row r="5">
      <c r="A5" s="77" t="s">
        <v>1294</v>
      </c>
      <c r="B5" s="70" t="str">
        <f>COUNTIF('Master Models'!BT5:BT92,DATE(2026,7,12))-8</f>
        <v>#REF!</v>
      </c>
    </row>
    <row r="6">
      <c r="A6" s="77" t="s">
        <v>1425</v>
      </c>
      <c r="B6" s="70" t="str">
        <f>COUNTIF('Master Models'!A42:A45,"Mistral AI")</f>
        <v>#REF!</v>
      </c>
    </row>
    <row r="7">
      <c r="A7" s="77" t="s">
        <v>1426</v>
      </c>
      <c r="B7" s="70" t="str">
        <f>COUNTIF('Master Models'!A42:A45,"NVIDIA")</f>
        <v>#REF!</v>
      </c>
    </row>
    <row r="8">
      <c r="A8" s="77" t="s">
        <v>1427</v>
      </c>
      <c r="B8" s="70">
        <v>41.0</v>
      </c>
    </row>
    <row r="9">
      <c r="A9" s="77" t="s">
        <v>1197</v>
      </c>
      <c r="B9" s="70">
        <v>46.0</v>
      </c>
    </row>
    <row r="10">
      <c r="A10" s="77" t="s">
        <v>1297</v>
      </c>
      <c r="B10" s="72" t="s">
        <v>1298</v>
      </c>
    </row>
    <row r="11">
      <c r="A11" s="77" t="s">
        <v>1299</v>
      </c>
      <c r="B11" s="70" t="s">
        <v>1428</v>
      </c>
    </row>
    <row r="14" ht="37.5" customHeight="1">
      <c r="A14" s="59" t="s">
        <v>1301</v>
      </c>
      <c r="B14" s="59" t="s">
        <v>1302</v>
      </c>
      <c r="C14" s="59" t="s">
        <v>1303</v>
      </c>
      <c r="D14" s="59" t="s">
        <v>1304</v>
      </c>
      <c r="E14" s="59" t="s">
        <v>1305</v>
      </c>
      <c r="F14" s="59" t="s">
        <v>1306</v>
      </c>
    </row>
    <row r="15">
      <c r="A15" s="34" t="s">
        <v>1294</v>
      </c>
      <c r="B15" s="34" t="s">
        <v>555</v>
      </c>
      <c r="C15" s="34" t="s">
        <v>1429</v>
      </c>
      <c r="D15" s="34" t="s">
        <v>1430</v>
      </c>
      <c r="E15" s="34" t="s">
        <v>1431</v>
      </c>
      <c r="F15" s="34" t="s">
        <v>970</v>
      </c>
    </row>
    <row r="16">
      <c r="A16" s="34" t="s">
        <v>1294</v>
      </c>
      <c r="B16" s="34" t="s">
        <v>1432</v>
      </c>
      <c r="C16" s="34" t="s">
        <v>1433</v>
      </c>
      <c r="D16" s="34" t="s">
        <v>1434</v>
      </c>
      <c r="E16" s="34" t="s">
        <v>1435</v>
      </c>
      <c r="F16" s="34" t="s">
        <v>1000</v>
      </c>
    </row>
    <row r="17">
      <c r="A17" s="34" t="s">
        <v>1436</v>
      </c>
      <c r="B17" s="34" t="s">
        <v>587</v>
      </c>
      <c r="C17" s="34" t="s">
        <v>1437</v>
      </c>
      <c r="D17" s="34" t="s">
        <v>1438</v>
      </c>
      <c r="E17" s="34" t="s">
        <v>1439</v>
      </c>
      <c r="F17" s="34" t="s">
        <v>1440</v>
      </c>
    </row>
    <row r="18">
      <c r="A18" s="34" t="s">
        <v>1436</v>
      </c>
      <c r="B18" s="34" t="s">
        <v>1005</v>
      </c>
      <c r="C18" s="34" t="s">
        <v>1441</v>
      </c>
      <c r="D18" s="34" t="s">
        <v>1442</v>
      </c>
      <c r="E18" s="34" t="s">
        <v>1443</v>
      </c>
      <c r="F18" s="34" t="s">
        <v>299</v>
      </c>
    </row>
    <row r="19">
      <c r="A19" s="34" t="s">
        <v>1316</v>
      </c>
      <c r="B19" s="34" t="s">
        <v>1444</v>
      </c>
      <c r="C19" s="34" t="s">
        <v>1445</v>
      </c>
      <c r="D19" s="34" t="s">
        <v>1319</v>
      </c>
      <c r="E19" s="34" t="s">
        <v>1446</v>
      </c>
      <c r="F19" s="34" t="s">
        <v>1000</v>
      </c>
    </row>
    <row r="20">
      <c r="A20" s="34" t="s">
        <v>1316</v>
      </c>
      <c r="B20" s="34" t="s">
        <v>1447</v>
      </c>
      <c r="C20" s="34" t="s">
        <v>1448</v>
      </c>
      <c r="D20" s="34" t="s">
        <v>1319</v>
      </c>
      <c r="E20" s="34" t="s">
        <v>1449</v>
      </c>
      <c r="F20" s="34" t="s">
        <v>299</v>
      </c>
    </row>
    <row r="21" ht="15.75" customHeight="1">
      <c r="A21" s="34" t="s">
        <v>1316</v>
      </c>
      <c r="B21" s="34" t="s">
        <v>1450</v>
      </c>
      <c r="C21" s="34" t="s">
        <v>1451</v>
      </c>
      <c r="D21" s="34" t="s">
        <v>1452</v>
      </c>
      <c r="E21" s="34" t="s">
        <v>1453</v>
      </c>
      <c r="F21" s="34" t="s">
        <v>970</v>
      </c>
    </row>
    <row r="22" ht="15.75" customHeight="1">
      <c r="A22" s="34" t="s">
        <v>377</v>
      </c>
      <c r="B22" s="34" t="s">
        <v>599</v>
      </c>
      <c r="C22" s="34" t="s">
        <v>1454</v>
      </c>
      <c r="D22" s="34" t="s">
        <v>1455</v>
      </c>
      <c r="E22" s="34" t="s">
        <v>1456</v>
      </c>
      <c r="F22" s="34" t="s">
        <v>993</v>
      </c>
    </row>
    <row r="23" ht="15.75" customHeight="1">
      <c r="A23" s="34" t="s">
        <v>1327</v>
      </c>
      <c r="B23" s="34" t="s">
        <v>1457</v>
      </c>
      <c r="C23" s="34" t="s">
        <v>1458</v>
      </c>
      <c r="D23" s="34" t="s">
        <v>1459</v>
      </c>
      <c r="E23" s="34" t="s">
        <v>1460</v>
      </c>
      <c r="F23" s="34" t="s">
        <v>299</v>
      </c>
    </row>
    <row r="24" ht="15.75" customHeight="1">
      <c r="A24" s="34" t="s">
        <v>1332</v>
      </c>
      <c r="B24" s="34" t="s">
        <v>1461</v>
      </c>
      <c r="C24" s="34" t="s">
        <v>1462</v>
      </c>
      <c r="D24" s="34" t="s">
        <v>1463</v>
      </c>
      <c r="E24" s="34" t="s">
        <v>1464</v>
      </c>
      <c r="F24" s="34" t="s">
        <v>1465</v>
      </c>
    </row>
    <row r="25" ht="15.75" customHeight="1">
      <c r="A25" s="34" t="s">
        <v>1332</v>
      </c>
      <c r="B25" s="34" t="s">
        <v>1466</v>
      </c>
      <c r="C25" s="34" t="s">
        <v>1467</v>
      </c>
      <c r="D25" s="34" t="s">
        <v>1468</v>
      </c>
      <c r="E25" s="34" t="s">
        <v>1469</v>
      </c>
      <c r="F25" s="34" t="s">
        <v>1470</v>
      </c>
    </row>
    <row r="26" ht="15.75" customHeight="1">
      <c r="A26" s="34" t="s">
        <v>1344</v>
      </c>
      <c r="B26" s="34" t="s">
        <v>1471</v>
      </c>
      <c r="C26" s="34" t="s">
        <v>1472</v>
      </c>
      <c r="D26" s="34" t="s">
        <v>1319</v>
      </c>
      <c r="E26" s="34" t="s">
        <v>1473</v>
      </c>
      <c r="F26" s="34" t="s">
        <v>1474</v>
      </c>
    </row>
    <row r="27" ht="15.75" customHeight="1">
      <c r="A27" s="34" t="s">
        <v>1349</v>
      </c>
      <c r="B27" s="34" t="s">
        <v>1475</v>
      </c>
      <c r="C27" s="34" t="s">
        <v>1476</v>
      </c>
      <c r="D27" s="34" t="s">
        <v>1477</v>
      </c>
      <c r="E27" s="34" t="s">
        <v>1478</v>
      </c>
      <c r="F27" s="34" t="s">
        <v>1479</v>
      </c>
    </row>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2"/>
  </mergeCells>
  <printOptions/>
  <pageMargins bottom="0.75" footer="0.0" header="0.0" left="0.7" right="0.7" top="0.75"/>
  <pageSetup orientation="landscape"/>
  <drawing r:id="rId1"/>
  <tableParts count="1">
    <tablePart r:id="rId3"/>
  </tableParts>
</worksheet>
</file>

<file path=xl/worksheets/sheet1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0.1" defaultRowHeight="15.0"/>
  <cols>
    <col customWidth="1" min="1" max="1" width="11.2"/>
    <col customWidth="1" min="2" max="2" width="28.8"/>
    <col customWidth="1" min="3" max="3" width="20.0"/>
    <col customWidth="1" min="4" max="4" width="25.6"/>
    <col customWidth="1" min="5" max="5" width="12.8"/>
    <col customWidth="1" min="6" max="6" width="9.6"/>
    <col customWidth="1" min="7" max="7" width="26.4"/>
    <col customWidth="1" min="8" max="10" width="13.6"/>
    <col customWidth="1" min="11" max="12" width="12.8"/>
    <col customWidth="1" min="13" max="13" width="19.2"/>
    <col customWidth="1" min="14" max="14" width="24.0"/>
    <col customWidth="1" min="15" max="15" width="36.8"/>
    <col customWidth="1" min="16" max="18" width="12.0"/>
    <col customWidth="1" min="19" max="19" width="8.8"/>
    <col customWidth="1" min="20" max="20" width="12.8"/>
    <col customWidth="1" min="21" max="21" width="41.6"/>
    <col customWidth="1" min="22" max="22" width="46.4"/>
    <col customWidth="1" min="23" max="26" width="6.9"/>
  </cols>
  <sheetData>
    <row r="1" ht="27.75" customHeight="1">
      <c r="A1" s="1" t="s">
        <v>1480</v>
      </c>
    </row>
    <row r="2" ht="39.75" customHeight="1">
      <c r="A2" s="36" t="s">
        <v>1481</v>
      </c>
    </row>
    <row r="4" ht="39.75" customHeight="1">
      <c r="A4" s="59" t="s">
        <v>1356</v>
      </c>
      <c r="B4" s="59" t="s">
        <v>1482</v>
      </c>
      <c r="C4" s="59" t="s">
        <v>4</v>
      </c>
      <c r="D4" s="59" t="s">
        <v>1212</v>
      </c>
      <c r="E4" s="59" t="s">
        <v>377</v>
      </c>
      <c r="F4" s="59" t="s">
        <v>9</v>
      </c>
      <c r="G4" s="59" t="s">
        <v>1176</v>
      </c>
      <c r="H4" s="59" t="s">
        <v>1358</v>
      </c>
      <c r="I4" s="59" t="s">
        <v>1359</v>
      </c>
      <c r="J4" s="59" t="s">
        <v>1483</v>
      </c>
      <c r="K4" s="59" t="s">
        <v>380</v>
      </c>
      <c r="L4" s="59" t="s">
        <v>1484</v>
      </c>
      <c r="M4" s="59" t="s">
        <v>1360</v>
      </c>
      <c r="N4" s="59" t="s">
        <v>1485</v>
      </c>
      <c r="O4" s="59" t="s">
        <v>1361</v>
      </c>
      <c r="P4" s="59" t="s">
        <v>1486</v>
      </c>
      <c r="Q4" s="59" t="s">
        <v>1487</v>
      </c>
      <c r="R4" s="59" t="s">
        <v>1488</v>
      </c>
      <c r="S4" s="59" t="s">
        <v>1489</v>
      </c>
      <c r="T4" s="59" t="s">
        <v>1490</v>
      </c>
      <c r="U4" s="59" t="s">
        <v>389</v>
      </c>
      <c r="V4" s="59" t="s">
        <v>391</v>
      </c>
    </row>
    <row r="5">
      <c r="A5" s="32" t="s">
        <v>555</v>
      </c>
      <c r="B5" s="32" t="s">
        <v>815</v>
      </c>
      <c r="C5" s="32" t="s">
        <v>661</v>
      </c>
      <c r="D5" s="32" t="s">
        <v>1254</v>
      </c>
      <c r="E5" s="32" t="s">
        <v>118</v>
      </c>
      <c r="F5" s="33">
        <v>45993.0</v>
      </c>
      <c r="G5" s="34" t="s">
        <v>1491</v>
      </c>
      <c r="H5" s="34" t="s">
        <v>1492</v>
      </c>
      <c r="I5" s="34" t="s">
        <v>1492</v>
      </c>
      <c r="J5" s="34" t="s">
        <v>1493</v>
      </c>
      <c r="K5" s="34">
        <v>262144.0</v>
      </c>
      <c r="L5" s="34">
        <v>131072.0</v>
      </c>
      <c r="M5" s="34" t="s">
        <v>1494</v>
      </c>
      <c r="N5" s="34" t="s">
        <v>1495</v>
      </c>
      <c r="O5" s="34" t="s">
        <v>1496</v>
      </c>
      <c r="P5" s="78">
        <v>0.2</v>
      </c>
      <c r="Q5" s="78"/>
      <c r="R5" s="78">
        <v>0.2</v>
      </c>
      <c r="S5" s="34" t="s">
        <v>1497</v>
      </c>
      <c r="T5" s="34" t="s">
        <v>1498</v>
      </c>
      <c r="U5" s="34" t="s">
        <v>1499</v>
      </c>
      <c r="V5" s="34" t="s">
        <v>1500</v>
      </c>
    </row>
    <row r="6">
      <c r="A6" s="32" t="s">
        <v>555</v>
      </c>
      <c r="B6" s="32" t="s">
        <v>815</v>
      </c>
      <c r="C6" s="32" t="s">
        <v>688</v>
      </c>
      <c r="D6" s="32" t="s">
        <v>1258</v>
      </c>
      <c r="E6" s="32" t="s">
        <v>118</v>
      </c>
      <c r="F6" s="33">
        <v>45993.0</v>
      </c>
      <c r="G6" s="34" t="s">
        <v>1491</v>
      </c>
      <c r="H6" s="34" t="s">
        <v>1501</v>
      </c>
      <c r="I6" s="34" t="s">
        <v>1501</v>
      </c>
      <c r="J6" s="34" t="s">
        <v>1493</v>
      </c>
      <c r="K6" s="34">
        <v>262144.0</v>
      </c>
      <c r="L6" s="34">
        <v>131072.0</v>
      </c>
      <c r="M6" s="34" t="s">
        <v>1494</v>
      </c>
      <c r="N6" s="34" t="s">
        <v>1495</v>
      </c>
      <c r="O6" s="34" t="s">
        <v>1496</v>
      </c>
      <c r="P6" s="78">
        <v>0.15</v>
      </c>
      <c r="Q6" s="78"/>
      <c r="R6" s="78">
        <v>0.15</v>
      </c>
      <c r="S6" s="34" t="s">
        <v>1497</v>
      </c>
      <c r="T6" s="34" t="s">
        <v>1498</v>
      </c>
      <c r="U6" s="34" t="s">
        <v>1502</v>
      </c>
      <c r="V6" s="34" t="s">
        <v>1500</v>
      </c>
    </row>
    <row r="7">
      <c r="A7" s="32" t="s">
        <v>555</v>
      </c>
      <c r="B7" s="32" t="s">
        <v>815</v>
      </c>
      <c r="C7" s="32" t="s">
        <v>689</v>
      </c>
      <c r="D7" s="32" t="s">
        <v>1259</v>
      </c>
      <c r="E7" s="32" t="s">
        <v>118</v>
      </c>
      <c r="F7" s="33">
        <v>45993.0</v>
      </c>
      <c r="G7" s="34" t="s">
        <v>1491</v>
      </c>
      <c r="H7" s="34" t="s">
        <v>1410</v>
      </c>
      <c r="I7" s="34" t="s">
        <v>1410</v>
      </c>
      <c r="J7" s="34" t="s">
        <v>1493</v>
      </c>
      <c r="K7" s="34">
        <v>262144.0</v>
      </c>
      <c r="L7" s="34">
        <v>131072.0</v>
      </c>
      <c r="M7" s="34" t="s">
        <v>1494</v>
      </c>
      <c r="N7" s="34" t="s">
        <v>1495</v>
      </c>
      <c r="O7" s="34" t="s">
        <v>1496</v>
      </c>
      <c r="P7" s="78">
        <v>0.1</v>
      </c>
      <c r="Q7" s="78"/>
      <c r="R7" s="78">
        <v>0.1</v>
      </c>
      <c r="S7" s="34" t="s">
        <v>1497</v>
      </c>
      <c r="T7" s="34" t="s">
        <v>1498</v>
      </c>
      <c r="U7" s="34" t="s">
        <v>1503</v>
      </c>
      <c r="V7" s="34" t="s">
        <v>1504</v>
      </c>
    </row>
    <row r="8">
      <c r="A8" s="32" t="s">
        <v>690</v>
      </c>
      <c r="B8" s="32" t="s">
        <v>862</v>
      </c>
      <c r="C8" s="32" t="s">
        <v>341</v>
      </c>
      <c r="D8" s="32" t="s">
        <v>1264</v>
      </c>
      <c r="E8" s="32" t="s">
        <v>118</v>
      </c>
      <c r="F8" s="33">
        <v>46209.0</v>
      </c>
      <c r="G8" s="34" t="s">
        <v>1505</v>
      </c>
      <c r="H8" s="34" t="s">
        <v>1506</v>
      </c>
      <c r="I8" s="34" t="s">
        <v>1507</v>
      </c>
      <c r="J8" s="34" t="s">
        <v>1319</v>
      </c>
      <c r="K8" s="34">
        <v>262144.0</v>
      </c>
      <c r="L8" s="34"/>
      <c r="M8" s="34" t="s">
        <v>1384</v>
      </c>
      <c r="N8" s="34" t="s">
        <v>1508</v>
      </c>
      <c r="O8" s="34" t="s">
        <v>1509</v>
      </c>
      <c r="P8" s="78"/>
      <c r="Q8" s="78"/>
      <c r="R8" s="78"/>
      <c r="S8" s="34" t="s">
        <v>1510</v>
      </c>
      <c r="T8" s="34" t="s">
        <v>1498</v>
      </c>
      <c r="U8" s="34" t="s">
        <v>1511</v>
      </c>
      <c r="V8" s="34" t="s">
        <v>1512</v>
      </c>
    </row>
    <row r="9">
      <c r="A9" s="32" t="s">
        <v>714</v>
      </c>
      <c r="B9" s="32" t="s">
        <v>863</v>
      </c>
      <c r="C9" s="32" t="s">
        <v>357</v>
      </c>
      <c r="D9" s="32" t="s">
        <v>358</v>
      </c>
      <c r="E9" s="32" t="s">
        <v>118</v>
      </c>
      <c r="F9" s="33">
        <v>46171.0</v>
      </c>
      <c r="G9" s="34" t="s">
        <v>1513</v>
      </c>
      <c r="H9" s="34" t="s">
        <v>1514</v>
      </c>
      <c r="I9" s="34" t="s">
        <v>1515</v>
      </c>
      <c r="J9" s="34" t="s">
        <v>1516</v>
      </c>
      <c r="K9" s="34">
        <v>262144.0</v>
      </c>
      <c r="L9" s="34"/>
      <c r="M9" s="34" t="s">
        <v>1517</v>
      </c>
      <c r="N9" s="34" t="s">
        <v>1518</v>
      </c>
      <c r="O9" s="34" t="s">
        <v>1519</v>
      </c>
      <c r="P9" s="78">
        <v>1.35</v>
      </c>
      <c r="Q9" s="78">
        <v>0.27</v>
      </c>
      <c r="R9" s="78">
        <v>8.1</v>
      </c>
      <c r="S9" s="34" t="s">
        <v>1520</v>
      </c>
      <c r="T9" s="34" t="s">
        <v>86</v>
      </c>
      <c r="U9" s="34" t="s">
        <v>1521</v>
      </c>
      <c r="V9" s="34" t="s">
        <v>1522</v>
      </c>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V1"/>
    <mergeCell ref="A2:V2"/>
  </mergeCells>
  <printOptions/>
  <pageMargins bottom="0.75" footer="0.0" header="0.0" left="0.7" right="0.7" top="0.75"/>
  <pageSetup orientation="landscape"/>
  <drawing r:id="rId1"/>
  <tableParts count="1">
    <tablePart r:id="rId3"/>
  </tableParts>
</worksheet>
</file>

<file path=xl/worksheets/sheet1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0.1" defaultRowHeight="15.0"/>
  <cols>
    <col customWidth="1" min="1" max="1" width="16.8"/>
    <col customWidth="1" min="2" max="2" width="24.8"/>
    <col customWidth="1" min="3" max="3" width="47.2"/>
    <col customWidth="1" min="4" max="4" width="35.2"/>
    <col customWidth="1" min="5" max="5" width="43.2"/>
    <col customWidth="1" min="6" max="6" width="44.0"/>
    <col customWidth="1" min="7" max="26" width="6.9"/>
  </cols>
  <sheetData>
    <row r="1" ht="27.75" customHeight="1">
      <c r="A1" s="1" t="s">
        <v>1523</v>
      </c>
    </row>
    <row r="2" ht="39.75" customHeight="1">
      <c r="A2" s="36" t="s">
        <v>1524</v>
      </c>
    </row>
    <row r="4" ht="39.75" customHeight="1">
      <c r="A4" s="69" t="s">
        <v>1124</v>
      </c>
      <c r="B4" s="69" t="s">
        <v>1293</v>
      </c>
    </row>
    <row r="5">
      <c r="A5" s="77" t="s">
        <v>1294</v>
      </c>
      <c r="B5" s="70">
        <v>5.0</v>
      </c>
    </row>
    <row r="6">
      <c r="A6" s="77" t="s">
        <v>1525</v>
      </c>
      <c r="B6" s="70">
        <v>3.0</v>
      </c>
    </row>
    <row r="7">
      <c r="A7" s="77" t="s">
        <v>1526</v>
      </c>
      <c r="B7" s="70">
        <v>2.0</v>
      </c>
    </row>
    <row r="8">
      <c r="A8" s="77" t="s">
        <v>1527</v>
      </c>
      <c r="B8" s="70">
        <v>72.0</v>
      </c>
    </row>
    <row r="9">
      <c r="A9" s="77" t="s">
        <v>1528</v>
      </c>
      <c r="B9" s="71" t="s">
        <v>1529</v>
      </c>
    </row>
    <row r="10">
      <c r="A10" s="77" t="s">
        <v>1197</v>
      </c>
      <c r="B10" s="71">
        <v>51.0</v>
      </c>
    </row>
    <row r="11">
      <c r="A11" s="77" t="s">
        <v>1297</v>
      </c>
      <c r="B11" s="72" t="s">
        <v>1298</v>
      </c>
    </row>
    <row r="12">
      <c r="A12" s="77" t="s">
        <v>1299</v>
      </c>
      <c r="B12" s="70" t="s">
        <v>1530</v>
      </c>
    </row>
    <row r="15" ht="39.75" customHeight="1">
      <c r="A15" s="59" t="s">
        <v>1301</v>
      </c>
      <c r="B15" s="59" t="s">
        <v>1302</v>
      </c>
      <c r="C15" s="59" t="s">
        <v>1303</v>
      </c>
      <c r="D15" s="59" t="s">
        <v>1304</v>
      </c>
      <c r="E15" s="59" t="s">
        <v>1305</v>
      </c>
      <c r="F15" s="59" t="s">
        <v>1306</v>
      </c>
    </row>
    <row r="16">
      <c r="A16" s="34" t="s">
        <v>1294</v>
      </c>
      <c r="B16" s="34" t="s">
        <v>1029</v>
      </c>
      <c r="C16" s="34" t="s">
        <v>1531</v>
      </c>
      <c r="D16" s="34" t="s">
        <v>1532</v>
      </c>
      <c r="E16" s="34" t="s">
        <v>1533</v>
      </c>
      <c r="F16" s="34" t="s">
        <v>666</v>
      </c>
    </row>
    <row r="17">
      <c r="A17" s="34" t="s">
        <v>1294</v>
      </c>
      <c r="B17" s="34" t="s">
        <v>341</v>
      </c>
      <c r="C17" s="34" t="s">
        <v>1534</v>
      </c>
      <c r="D17" s="34" t="s">
        <v>1535</v>
      </c>
      <c r="E17" s="34" t="s">
        <v>1536</v>
      </c>
      <c r="F17" s="34" t="s">
        <v>1537</v>
      </c>
    </row>
    <row r="18">
      <c r="A18" s="34" t="s">
        <v>1294</v>
      </c>
      <c r="B18" s="34" t="s">
        <v>357</v>
      </c>
      <c r="C18" s="34" t="s">
        <v>1538</v>
      </c>
      <c r="D18" s="34" t="s">
        <v>1539</v>
      </c>
      <c r="E18" s="34" t="s">
        <v>1540</v>
      </c>
      <c r="F18" s="34" t="s">
        <v>1541</v>
      </c>
    </row>
    <row r="19">
      <c r="A19" s="34" t="s">
        <v>1542</v>
      </c>
      <c r="B19" s="34" t="s">
        <v>1543</v>
      </c>
      <c r="C19" s="34" t="s">
        <v>1544</v>
      </c>
      <c r="D19" s="34" t="s">
        <v>1319</v>
      </c>
      <c r="E19" s="34" t="s">
        <v>1545</v>
      </c>
      <c r="F19" s="34" t="s">
        <v>1020</v>
      </c>
    </row>
    <row r="20">
      <c r="A20" s="34" t="s">
        <v>1316</v>
      </c>
      <c r="B20" s="34" t="s">
        <v>1272</v>
      </c>
      <c r="C20" s="34" t="s">
        <v>1546</v>
      </c>
      <c r="D20" s="34" t="s">
        <v>1547</v>
      </c>
      <c r="E20" s="34" t="s">
        <v>1548</v>
      </c>
      <c r="F20" s="34" t="s">
        <v>353</v>
      </c>
    </row>
    <row r="21" ht="15.75" customHeight="1">
      <c r="A21" s="34" t="s">
        <v>1316</v>
      </c>
      <c r="B21" s="34" t="s">
        <v>1549</v>
      </c>
      <c r="C21" s="34" t="s">
        <v>1550</v>
      </c>
      <c r="D21" s="34" t="s">
        <v>1319</v>
      </c>
      <c r="E21" s="34" t="s">
        <v>1551</v>
      </c>
      <c r="F21" s="34" t="s">
        <v>370</v>
      </c>
    </row>
    <row r="22" ht="15.75" customHeight="1">
      <c r="A22" s="34" t="s">
        <v>1327</v>
      </c>
      <c r="B22" s="34" t="s">
        <v>1552</v>
      </c>
      <c r="C22" s="34" t="s">
        <v>1553</v>
      </c>
      <c r="D22" s="34" t="s">
        <v>1554</v>
      </c>
      <c r="E22" s="34" t="s">
        <v>1555</v>
      </c>
      <c r="F22" s="34" t="s">
        <v>1556</v>
      </c>
    </row>
    <row r="23" ht="15.75" customHeight="1">
      <c r="A23" s="34" t="s">
        <v>1332</v>
      </c>
      <c r="B23" s="34" t="s">
        <v>1557</v>
      </c>
      <c r="C23" s="34" t="s">
        <v>1558</v>
      </c>
      <c r="D23" s="34" t="s">
        <v>1559</v>
      </c>
      <c r="E23" s="34" t="s">
        <v>1560</v>
      </c>
      <c r="F23" s="34" t="s">
        <v>666</v>
      </c>
    </row>
    <row r="24" ht="15.75" customHeight="1">
      <c r="A24" s="34" t="s">
        <v>1332</v>
      </c>
      <c r="B24" s="34" t="s">
        <v>1561</v>
      </c>
      <c r="C24" s="34" t="s">
        <v>1562</v>
      </c>
      <c r="D24" s="34" t="s">
        <v>1563</v>
      </c>
      <c r="E24" s="34" t="s">
        <v>1564</v>
      </c>
      <c r="F24" s="34" t="s">
        <v>1541</v>
      </c>
    </row>
    <row r="25" ht="15.75" customHeight="1">
      <c r="A25" s="34" t="s">
        <v>1344</v>
      </c>
      <c r="B25" s="34" t="s">
        <v>1565</v>
      </c>
      <c r="C25" s="34" t="s">
        <v>1566</v>
      </c>
      <c r="D25" s="34" t="s">
        <v>1319</v>
      </c>
      <c r="E25" s="34" t="s">
        <v>1567</v>
      </c>
      <c r="F25" s="34" t="s">
        <v>1568</v>
      </c>
    </row>
    <row r="26" ht="15.75" customHeight="1">
      <c r="A26" s="34" t="s">
        <v>1349</v>
      </c>
      <c r="B26" s="34" t="s">
        <v>1569</v>
      </c>
      <c r="C26" s="34" t="s">
        <v>1570</v>
      </c>
      <c r="D26" s="34" t="s">
        <v>1571</v>
      </c>
      <c r="E26" s="34" t="s">
        <v>1572</v>
      </c>
      <c r="F26" s="34" t="s">
        <v>1573</v>
      </c>
    </row>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2"/>
  </mergeCells>
  <printOptions/>
  <pageMargins bottom="0.75" footer="0.0" header="0.0" left="0.7" right="0.7" top="0.75"/>
  <pageSetup orientation="landscape"/>
  <drawing r:id="rId1"/>
  <tableParts count="1">
    <tablePart r:id="rId3"/>
  </tableParts>
</worksheet>
</file>

<file path=xl/worksheets/sheet1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0.1" defaultRowHeight="15.0"/>
  <cols>
    <col customWidth="1" min="1" max="1" width="12.8"/>
    <col customWidth="1" min="2" max="2" width="22.4"/>
    <col customWidth="1" min="3" max="4" width="12.8"/>
    <col customWidth="1" min="5" max="5" width="27.2"/>
    <col customWidth="1" min="6" max="8" width="12.8"/>
    <col customWidth="1" min="9" max="9" width="27.2"/>
    <col customWidth="1" min="10" max="13" width="12.8"/>
    <col customWidth="1" min="14" max="14" width="30.4"/>
    <col customWidth="1" min="15" max="15" width="33.6"/>
    <col customWidth="1" min="16" max="16" width="12.8"/>
    <col customWidth="1" min="17" max="17" width="6.9"/>
    <col customWidth="1" min="18" max="18" width="16.0"/>
    <col customWidth="1" min="19" max="19" width="54.4"/>
    <col customWidth="1" min="20" max="26" width="6.9"/>
  </cols>
  <sheetData>
    <row r="1">
      <c r="A1" s="1" t="s">
        <v>1574</v>
      </c>
      <c r="B1" s="1"/>
      <c r="C1" s="1"/>
      <c r="D1" s="1"/>
      <c r="E1" s="1"/>
      <c r="F1" s="1"/>
      <c r="G1" s="1"/>
      <c r="H1" s="1"/>
      <c r="I1" s="1"/>
      <c r="J1" s="1"/>
      <c r="K1" s="1"/>
      <c r="L1" s="1"/>
      <c r="M1" s="1"/>
      <c r="N1" s="1"/>
      <c r="O1" s="1"/>
      <c r="P1" s="1"/>
    </row>
    <row r="2">
      <c r="A2" s="3" t="s">
        <v>1575</v>
      </c>
      <c r="B2" s="3"/>
      <c r="C2" s="3"/>
      <c r="D2" s="3"/>
      <c r="E2" s="3"/>
      <c r="F2" s="3"/>
      <c r="G2" s="3"/>
      <c r="H2" s="3"/>
      <c r="I2" s="3"/>
      <c r="J2" s="3"/>
      <c r="K2" s="3"/>
      <c r="L2" s="3"/>
      <c r="M2" s="3"/>
      <c r="N2" s="3"/>
      <c r="O2" s="3"/>
      <c r="P2" s="3"/>
    </row>
    <row r="4">
      <c r="A4" s="6" t="s">
        <v>2</v>
      </c>
      <c r="B4" s="6" t="s">
        <v>4</v>
      </c>
      <c r="C4" s="6" t="s">
        <v>457</v>
      </c>
      <c r="D4" s="6" t="s">
        <v>458</v>
      </c>
      <c r="E4" s="6" t="s">
        <v>459</v>
      </c>
      <c r="F4" s="6" t="s">
        <v>1576</v>
      </c>
      <c r="G4" s="6" t="s">
        <v>461</v>
      </c>
      <c r="H4" s="6" t="s">
        <v>462</v>
      </c>
      <c r="I4" s="6" t="s">
        <v>463</v>
      </c>
      <c r="J4" s="6" t="s">
        <v>1577</v>
      </c>
      <c r="K4" s="6" t="s">
        <v>1578</v>
      </c>
      <c r="L4" s="6" t="s">
        <v>1579</v>
      </c>
      <c r="M4" s="6" t="s">
        <v>1580</v>
      </c>
      <c r="N4" s="6" t="s">
        <v>8</v>
      </c>
      <c r="O4" s="6" t="s">
        <v>465</v>
      </c>
      <c r="P4" s="6" t="s">
        <v>73</v>
      </c>
      <c r="R4" s="6" t="s">
        <v>1581</v>
      </c>
      <c r="S4" s="6" t="s">
        <v>1582</v>
      </c>
      <c r="T4" s="6" t="s">
        <v>1583</v>
      </c>
    </row>
    <row r="5">
      <c r="A5" s="42" t="s">
        <v>246</v>
      </c>
      <c r="B5" s="42" t="s">
        <v>392</v>
      </c>
      <c r="C5" s="42" t="s">
        <v>466</v>
      </c>
      <c r="D5" s="42" t="s">
        <v>37</v>
      </c>
      <c r="E5" s="42" t="s">
        <v>467</v>
      </c>
      <c r="F5" s="57">
        <v>54.2</v>
      </c>
      <c r="G5" s="42" t="s">
        <v>468</v>
      </c>
      <c r="H5" s="42" t="s">
        <v>86</v>
      </c>
      <c r="I5" s="42" t="s">
        <v>469</v>
      </c>
      <c r="J5" s="57">
        <v>3.0</v>
      </c>
      <c r="K5" s="57">
        <v>49.6</v>
      </c>
      <c r="L5" s="57">
        <v>55.1</v>
      </c>
      <c r="M5" s="57">
        <v>83.64</v>
      </c>
      <c r="N5" s="42" t="s">
        <v>1584</v>
      </c>
      <c r="O5" s="42" t="s">
        <v>263</v>
      </c>
      <c r="P5" s="43">
        <v>46215.0</v>
      </c>
      <c r="R5" s="79" t="s">
        <v>1126</v>
      </c>
      <c r="S5" s="79" t="s">
        <v>1585</v>
      </c>
      <c r="T5" s="80">
        <v>0.35</v>
      </c>
    </row>
    <row r="6">
      <c r="A6" s="42" t="s">
        <v>246</v>
      </c>
      <c r="B6" s="42" t="s">
        <v>392</v>
      </c>
      <c r="C6" s="42" t="s">
        <v>472</v>
      </c>
      <c r="D6" s="42" t="s">
        <v>473</v>
      </c>
      <c r="E6" s="42" t="s">
        <v>474</v>
      </c>
      <c r="F6" s="57">
        <v>70.3</v>
      </c>
      <c r="G6" s="42" t="s">
        <v>468</v>
      </c>
      <c r="H6" s="42" t="s">
        <v>86</v>
      </c>
      <c r="I6" s="42" t="s">
        <v>38</v>
      </c>
      <c r="J6" s="57">
        <v>5.0</v>
      </c>
      <c r="K6" s="57">
        <v>58.0</v>
      </c>
      <c r="L6" s="57">
        <v>76.2</v>
      </c>
      <c r="M6" s="57">
        <v>67.58</v>
      </c>
      <c r="N6" s="42" t="s">
        <v>1584</v>
      </c>
      <c r="O6" s="42" t="s">
        <v>263</v>
      </c>
      <c r="P6" s="43">
        <v>46215.0</v>
      </c>
      <c r="R6" s="79" t="s">
        <v>1126</v>
      </c>
      <c r="S6" s="79" t="s">
        <v>1586</v>
      </c>
      <c r="T6" s="80">
        <v>0.2</v>
      </c>
    </row>
    <row r="7">
      <c r="A7" s="42" t="s">
        <v>246</v>
      </c>
      <c r="B7" s="42" t="s">
        <v>392</v>
      </c>
      <c r="C7" s="42" t="s">
        <v>475</v>
      </c>
      <c r="D7" s="42" t="s">
        <v>43</v>
      </c>
      <c r="E7" s="42" t="s">
        <v>476</v>
      </c>
      <c r="F7" s="57">
        <v>78.2</v>
      </c>
      <c r="G7" s="42" t="s">
        <v>468</v>
      </c>
      <c r="H7" s="42" t="s">
        <v>86</v>
      </c>
      <c r="I7" s="42" t="s">
        <v>43</v>
      </c>
      <c r="J7" s="57">
        <v>3.0</v>
      </c>
      <c r="K7" s="57">
        <v>62.0</v>
      </c>
      <c r="L7" s="57">
        <v>83.6</v>
      </c>
      <c r="M7" s="57">
        <v>75.0</v>
      </c>
      <c r="N7" s="42" t="s">
        <v>1584</v>
      </c>
      <c r="O7" s="42" t="s">
        <v>263</v>
      </c>
      <c r="P7" s="43">
        <v>46215.0</v>
      </c>
      <c r="R7" s="79" t="s">
        <v>1126</v>
      </c>
      <c r="S7" s="79" t="s">
        <v>1587</v>
      </c>
      <c r="T7" s="80">
        <v>0.2</v>
      </c>
    </row>
    <row r="8">
      <c r="A8" s="42" t="s">
        <v>246</v>
      </c>
      <c r="B8" s="42" t="s">
        <v>392</v>
      </c>
      <c r="C8" s="42" t="s">
        <v>477</v>
      </c>
      <c r="D8" s="42" t="s">
        <v>478</v>
      </c>
      <c r="E8" s="42" t="s">
        <v>476</v>
      </c>
      <c r="F8" s="57">
        <v>76.2</v>
      </c>
      <c r="G8" s="42" t="s">
        <v>468</v>
      </c>
      <c r="H8" s="42" t="s">
        <v>86</v>
      </c>
      <c r="I8" s="42" t="s">
        <v>478</v>
      </c>
      <c r="J8" s="57">
        <v>3.0</v>
      </c>
      <c r="K8" s="57">
        <v>65.1</v>
      </c>
      <c r="L8" s="57">
        <v>78.4</v>
      </c>
      <c r="M8" s="57">
        <v>83.46</v>
      </c>
      <c r="N8" s="42" t="s">
        <v>1584</v>
      </c>
      <c r="O8" s="42" t="s">
        <v>263</v>
      </c>
      <c r="P8" s="43">
        <v>46215.0</v>
      </c>
      <c r="R8" s="79" t="s">
        <v>1126</v>
      </c>
      <c r="S8" s="79" t="s">
        <v>1173</v>
      </c>
      <c r="T8" s="80">
        <v>0.15</v>
      </c>
    </row>
    <row r="9">
      <c r="A9" s="42" t="s">
        <v>246</v>
      </c>
      <c r="B9" s="42" t="s">
        <v>392</v>
      </c>
      <c r="C9" s="42" t="s">
        <v>479</v>
      </c>
      <c r="D9" s="42" t="s">
        <v>480</v>
      </c>
      <c r="E9" s="42" t="s">
        <v>481</v>
      </c>
      <c r="F9" s="57">
        <v>84.9</v>
      </c>
      <c r="G9" s="42" t="s">
        <v>468</v>
      </c>
      <c r="H9" s="42" t="s">
        <v>86</v>
      </c>
      <c r="I9" s="42" t="s">
        <v>482</v>
      </c>
      <c r="J9" s="57">
        <v>4.0</v>
      </c>
      <c r="K9" s="57">
        <v>60.1</v>
      </c>
      <c r="L9" s="57">
        <v>84.9</v>
      </c>
      <c r="M9" s="57">
        <v>100.0</v>
      </c>
      <c r="N9" s="42" t="s">
        <v>1584</v>
      </c>
      <c r="O9" s="42" t="s">
        <v>263</v>
      </c>
      <c r="P9" s="43">
        <v>46215.0</v>
      </c>
      <c r="R9" s="79" t="s">
        <v>1126</v>
      </c>
      <c r="S9" s="79" t="s">
        <v>1588</v>
      </c>
      <c r="T9" s="80">
        <v>0.05</v>
      </c>
    </row>
    <row r="10">
      <c r="A10" s="42" t="s">
        <v>246</v>
      </c>
      <c r="B10" s="42" t="s">
        <v>392</v>
      </c>
      <c r="C10" s="42" t="s">
        <v>479</v>
      </c>
      <c r="D10" s="42" t="s">
        <v>480</v>
      </c>
      <c r="E10" s="42" t="s">
        <v>483</v>
      </c>
      <c r="F10" s="57">
        <v>26.3</v>
      </c>
      <c r="G10" s="42" t="s">
        <v>468</v>
      </c>
      <c r="H10" s="42" t="s">
        <v>86</v>
      </c>
      <c r="I10" s="42" t="s">
        <v>484</v>
      </c>
      <c r="J10" s="57">
        <v>4.0</v>
      </c>
      <c r="K10" s="57">
        <v>12.3</v>
      </c>
      <c r="L10" s="57">
        <v>26.6</v>
      </c>
      <c r="M10" s="57">
        <v>97.9</v>
      </c>
      <c r="N10" s="42" t="s">
        <v>1584</v>
      </c>
      <c r="O10" s="42" t="s">
        <v>263</v>
      </c>
      <c r="P10" s="43">
        <v>46215.0</v>
      </c>
      <c r="R10" s="79" t="s">
        <v>1126</v>
      </c>
      <c r="S10" s="79" t="s">
        <v>1589</v>
      </c>
      <c r="T10" s="80">
        <v>0.05</v>
      </c>
    </row>
    <row r="11">
      <c r="A11" s="42" t="s">
        <v>246</v>
      </c>
      <c r="B11" s="42" t="s">
        <v>392</v>
      </c>
      <c r="C11" s="42" t="s">
        <v>485</v>
      </c>
      <c r="D11" s="42" t="s">
        <v>486</v>
      </c>
      <c r="E11" s="42" t="s">
        <v>487</v>
      </c>
      <c r="F11" s="57">
        <v>44.4</v>
      </c>
      <c r="G11" s="42" t="s">
        <v>468</v>
      </c>
      <c r="H11" s="42" t="s">
        <v>86</v>
      </c>
      <c r="I11" s="42" t="s">
        <v>488</v>
      </c>
      <c r="J11" s="57">
        <v>6.0</v>
      </c>
      <c r="K11" s="57">
        <v>16.0</v>
      </c>
      <c r="L11" s="57">
        <v>44.4</v>
      </c>
      <c r="M11" s="57">
        <v>100.0</v>
      </c>
      <c r="N11" s="42" t="s">
        <v>1584</v>
      </c>
      <c r="O11" s="42" t="s">
        <v>263</v>
      </c>
      <c r="P11" s="43">
        <v>46215.0</v>
      </c>
      <c r="R11" s="79" t="s">
        <v>1127</v>
      </c>
      <c r="S11" s="79" t="s">
        <v>1585</v>
      </c>
      <c r="T11" s="80">
        <v>0.25</v>
      </c>
    </row>
    <row r="12">
      <c r="A12" s="42" t="s">
        <v>246</v>
      </c>
      <c r="B12" s="42" t="s">
        <v>392</v>
      </c>
      <c r="C12" s="42" t="s">
        <v>383</v>
      </c>
      <c r="D12" s="42" t="s">
        <v>489</v>
      </c>
      <c r="E12" s="42" t="s">
        <v>476</v>
      </c>
      <c r="F12" s="57">
        <v>77.1</v>
      </c>
      <c r="G12" s="42" t="s">
        <v>468</v>
      </c>
      <c r="H12" s="42" t="s">
        <v>86</v>
      </c>
      <c r="I12" s="42" t="s">
        <v>489</v>
      </c>
      <c r="J12" s="57">
        <v>3.0</v>
      </c>
      <c r="K12" s="57">
        <v>33.6</v>
      </c>
      <c r="L12" s="57">
        <v>77.1</v>
      </c>
      <c r="M12" s="57">
        <v>100.0</v>
      </c>
      <c r="N12" s="42" t="s">
        <v>1584</v>
      </c>
      <c r="O12" s="42" t="s">
        <v>263</v>
      </c>
      <c r="P12" s="43">
        <v>46215.0</v>
      </c>
      <c r="R12" s="79" t="s">
        <v>1127</v>
      </c>
      <c r="S12" s="79" t="s">
        <v>1586</v>
      </c>
      <c r="T12" s="80">
        <v>0.15</v>
      </c>
    </row>
    <row r="13">
      <c r="A13" s="42" t="s">
        <v>246</v>
      </c>
      <c r="B13" s="42" t="s">
        <v>403</v>
      </c>
      <c r="C13" s="42" t="s">
        <v>466</v>
      </c>
      <c r="D13" s="42" t="s">
        <v>37</v>
      </c>
      <c r="E13" s="42" t="s">
        <v>490</v>
      </c>
      <c r="F13" s="57">
        <v>55.1</v>
      </c>
      <c r="G13" s="42" t="s">
        <v>468</v>
      </c>
      <c r="H13" s="42" t="s">
        <v>86</v>
      </c>
      <c r="I13" s="42" t="s">
        <v>469</v>
      </c>
      <c r="J13" s="57">
        <v>3.0</v>
      </c>
      <c r="K13" s="57">
        <v>49.6</v>
      </c>
      <c r="L13" s="57">
        <v>55.1</v>
      </c>
      <c r="M13" s="57">
        <v>100.0</v>
      </c>
      <c r="N13" s="42" t="s">
        <v>1584</v>
      </c>
      <c r="O13" s="42" t="s">
        <v>263</v>
      </c>
      <c r="P13" s="43">
        <v>46215.0</v>
      </c>
      <c r="R13" s="79" t="s">
        <v>1127</v>
      </c>
      <c r="S13" s="79" t="s">
        <v>1587</v>
      </c>
      <c r="T13" s="80">
        <v>0.15</v>
      </c>
    </row>
    <row r="14">
      <c r="A14" s="42" t="s">
        <v>246</v>
      </c>
      <c r="B14" s="42" t="s">
        <v>403</v>
      </c>
      <c r="C14" s="42" t="s">
        <v>472</v>
      </c>
      <c r="D14" s="42" t="s">
        <v>473</v>
      </c>
      <c r="E14" s="42" t="s">
        <v>474</v>
      </c>
      <c r="F14" s="57">
        <v>76.2</v>
      </c>
      <c r="G14" s="42" t="s">
        <v>468</v>
      </c>
      <c r="H14" s="42" t="s">
        <v>86</v>
      </c>
      <c r="I14" s="42" t="s">
        <v>38</v>
      </c>
      <c r="J14" s="57">
        <v>5.0</v>
      </c>
      <c r="K14" s="57">
        <v>58.0</v>
      </c>
      <c r="L14" s="57">
        <v>76.2</v>
      </c>
      <c r="M14" s="57">
        <v>100.0</v>
      </c>
      <c r="N14" s="42" t="s">
        <v>1584</v>
      </c>
      <c r="O14" s="42" t="s">
        <v>263</v>
      </c>
      <c r="P14" s="43">
        <v>46215.0</v>
      </c>
      <c r="R14" s="79" t="s">
        <v>1127</v>
      </c>
      <c r="S14" s="79" t="s">
        <v>1173</v>
      </c>
      <c r="T14" s="80">
        <v>0.1</v>
      </c>
    </row>
    <row r="15">
      <c r="A15" s="42" t="s">
        <v>246</v>
      </c>
      <c r="B15" s="42" t="s">
        <v>403</v>
      </c>
      <c r="C15" s="42" t="s">
        <v>475</v>
      </c>
      <c r="D15" s="42" t="s">
        <v>43</v>
      </c>
      <c r="E15" s="42" t="s">
        <v>476</v>
      </c>
      <c r="F15" s="57">
        <v>83.6</v>
      </c>
      <c r="G15" s="42" t="s">
        <v>468</v>
      </c>
      <c r="H15" s="42" t="s">
        <v>86</v>
      </c>
      <c r="I15" s="42" t="s">
        <v>43</v>
      </c>
      <c r="J15" s="57">
        <v>3.0</v>
      </c>
      <c r="K15" s="57">
        <v>62.0</v>
      </c>
      <c r="L15" s="57">
        <v>83.6</v>
      </c>
      <c r="M15" s="57">
        <v>100.0</v>
      </c>
      <c r="N15" s="42" t="s">
        <v>1584</v>
      </c>
      <c r="O15" s="42" t="s">
        <v>263</v>
      </c>
      <c r="P15" s="43">
        <v>46215.0</v>
      </c>
      <c r="R15" s="79" t="s">
        <v>1127</v>
      </c>
      <c r="S15" s="79" t="s">
        <v>502</v>
      </c>
      <c r="T15" s="80">
        <v>0.1</v>
      </c>
    </row>
    <row r="16">
      <c r="A16" s="42" t="s">
        <v>246</v>
      </c>
      <c r="B16" s="42" t="s">
        <v>403</v>
      </c>
      <c r="C16" s="42" t="s">
        <v>475</v>
      </c>
      <c r="D16" s="42" t="s">
        <v>42</v>
      </c>
      <c r="E16" s="42" t="s">
        <v>476</v>
      </c>
      <c r="F16" s="57">
        <v>56.5</v>
      </c>
      <c r="G16" s="42" t="s">
        <v>468</v>
      </c>
      <c r="H16" s="42" t="s">
        <v>86</v>
      </c>
      <c r="I16" s="42" t="s">
        <v>42</v>
      </c>
      <c r="J16" s="57">
        <v>3.0</v>
      </c>
      <c r="K16" s="57">
        <v>48.5</v>
      </c>
      <c r="L16" s="57">
        <v>56.5</v>
      </c>
      <c r="M16" s="57">
        <v>100.0</v>
      </c>
      <c r="N16" s="42" t="s">
        <v>1584</v>
      </c>
      <c r="O16" s="42" t="s">
        <v>263</v>
      </c>
      <c r="P16" s="43">
        <v>46215.0</v>
      </c>
      <c r="R16" s="79" t="s">
        <v>1127</v>
      </c>
      <c r="S16" s="79" t="s">
        <v>1590</v>
      </c>
      <c r="T16" s="80">
        <v>0.15</v>
      </c>
    </row>
    <row r="17">
      <c r="A17" s="42" t="s">
        <v>246</v>
      </c>
      <c r="B17" s="42" t="s">
        <v>403</v>
      </c>
      <c r="C17" s="42" t="s">
        <v>477</v>
      </c>
      <c r="D17" s="42" t="s">
        <v>478</v>
      </c>
      <c r="E17" s="42" t="s">
        <v>476</v>
      </c>
      <c r="F17" s="57">
        <v>78.4</v>
      </c>
      <c r="G17" s="42" t="s">
        <v>468</v>
      </c>
      <c r="H17" s="42" t="s">
        <v>86</v>
      </c>
      <c r="I17" s="42" t="s">
        <v>478</v>
      </c>
      <c r="J17" s="57">
        <v>3.0</v>
      </c>
      <c r="K17" s="57">
        <v>65.1</v>
      </c>
      <c r="L17" s="57">
        <v>78.4</v>
      </c>
      <c r="M17" s="57">
        <v>100.0</v>
      </c>
      <c r="N17" s="42" t="s">
        <v>1584</v>
      </c>
      <c r="O17" s="42" t="s">
        <v>263</v>
      </c>
      <c r="P17" s="43">
        <v>46215.0</v>
      </c>
      <c r="R17" s="79" t="s">
        <v>1127</v>
      </c>
      <c r="S17" s="79" t="s">
        <v>1588</v>
      </c>
      <c r="T17" s="80">
        <v>0.05</v>
      </c>
    </row>
    <row r="18">
      <c r="A18" s="42" t="s">
        <v>246</v>
      </c>
      <c r="B18" s="42" t="s">
        <v>403</v>
      </c>
      <c r="C18" s="42" t="s">
        <v>491</v>
      </c>
      <c r="D18" s="42" t="s">
        <v>492</v>
      </c>
      <c r="E18" s="42" t="s">
        <v>493</v>
      </c>
      <c r="F18" s="57">
        <v>57.9</v>
      </c>
      <c r="G18" s="42" t="s">
        <v>468</v>
      </c>
      <c r="H18" s="42" t="s">
        <v>86</v>
      </c>
      <c r="I18" s="42" t="s">
        <v>494</v>
      </c>
      <c r="J18" s="57">
        <v>1.0</v>
      </c>
      <c r="K18" s="57">
        <v>57.9</v>
      </c>
      <c r="L18" s="57">
        <v>57.9</v>
      </c>
      <c r="M18" s="57"/>
      <c r="N18" s="42" t="s">
        <v>1591</v>
      </c>
      <c r="O18" s="42" t="s">
        <v>263</v>
      </c>
      <c r="P18" s="43">
        <v>46215.0</v>
      </c>
      <c r="R18" s="79" t="s">
        <v>1127</v>
      </c>
      <c r="S18" s="79" t="s">
        <v>1589</v>
      </c>
      <c r="T18" s="80">
        <v>0.05</v>
      </c>
    </row>
    <row r="19">
      <c r="A19" s="42" t="s">
        <v>246</v>
      </c>
      <c r="B19" s="42" t="s">
        <v>403</v>
      </c>
      <c r="C19" s="42" t="s">
        <v>495</v>
      </c>
      <c r="D19" s="42" t="s">
        <v>496</v>
      </c>
      <c r="E19" s="42" t="s">
        <v>476</v>
      </c>
      <c r="F19" s="57">
        <v>84.2</v>
      </c>
      <c r="G19" s="42" t="s">
        <v>468</v>
      </c>
      <c r="H19" s="42" t="s">
        <v>86</v>
      </c>
      <c r="I19" s="42" t="s">
        <v>496</v>
      </c>
      <c r="J19" s="57">
        <v>2.0</v>
      </c>
      <c r="K19" s="57">
        <v>73.2</v>
      </c>
      <c r="L19" s="57">
        <v>84.2</v>
      </c>
      <c r="M19" s="57">
        <v>100.0</v>
      </c>
      <c r="N19" s="42" t="s">
        <v>1584</v>
      </c>
      <c r="O19" s="42" t="s">
        <v>263</v>
      </c>
      <c r="P19" s="43">
        <v>46215.0</v>
      </c>
      <c r="R19" s="79" t="s">
        <v>1128</v>
      </c>
      <c r="S19" s="79" t="s">
        <v>1126</v>
      </c>
      <c r="T19" s="80">
        <v>0.55</v>
      </c>
    </row>
    <row r="20">
      <c r="A20" s="42" t="s">
        <v>246</v>
      </c>
      <c r="B20" s="42" t="s">
        <v>403</v>
      </c>
      <c r="C20" s="42" t="s">
        <v>495</v>
      </c>
      <c r="D20" s="42" t="s">
        <v>497</v>
      </c>
      <c r="E20" s="42" t="s">
        <v>476</v>
      </c>
      <c r="F20" s="57">
        <v>83.6</v>
      </c>
      <c r="G20" s="42" t="s">
        <v>468</v>
      </c>
      <c r="H20" s="42" t="s">
        <v>86</v>
      </c>
      <c r="I20" s="42" t="s">
        <v>497</v>
      </c>
      <c r="J20" s="57">
        <v>3.0</v>
      </c>
      <c r="K20" s="57">
        <v>76.8</v>
      </c>
      <c r="L20" s="57">
        <v>83.6</v>
      </c>
      <c r="M20" s="57">
        <v>100.0</v>
      </c>
      <c r="N20" s="42" t="s">
        <v>1584</v>
      </c>
      <c r="O20" s="42" t="s">
        <v>263</v>
      </c>
      <c r="P20" s="43">
        <v>46215.0</v>
      </c>
      <c r="R20" s="79" t="s">
        <v>1128</v>
      </c>
      <c r="S20" s="79" t="s">
        <v>1590</v>
      </c>
      <c r="T20" s="80">
        <v>0.25</v>
      </c>
    </row>
    <row r="21" ht="15.75" customHeight="1">
      <c r="A21" s="42" t="s">
        <v>246</v>
      </c>
      <c r="B21" s="42" t="s">
        <v>403</v>
      </c>
      <c r="C21" s="42" t="s">
        <v>479</v>
      </c>
      <c r="D21" s="42" t="s">
        <v>480</v>
      </c>
      <c r="E21" s="42" t="s">
        <v>481</v>
      </c>
      <c r="F21" s="57">
        <v>77.3</v>
      </c>
      <c r="G21" s="42" t="s">
        <v>468</v>
      </c>
      <c r="H21" s="42" t="s">
        <v>86</v>
      </c>
      <c r="I21" s="42" t="s">
        <v>482</v>
      </c>
      <c r="J21" s="57">
        <v>4.0</v>
      </c>
      <c r="K21" s="57">
        <v>60.1</v>
      </c>
      <c r="L21" s="57">
        <v>84.9</v>
      </c>
      <c r="M21" s="57">
        <v>69.35</v>
      </c>
      <c r="N21" s="42" t="s">
        <v>1584</v>
      </c>
      <c r="O21" s="42" t="s">
        <v>263</v>
      </c>
      <c r="P21" s="43">
        <v>46215.0</v>
      </c>
      <c r="R21" s="79" t="s">
        <v>1128</v>
      </c>
      <c r="S21" s="79" t="s">
        <v>502</v>
      </c>
      <c r="T21" s="80">
        <v>0.15</v>
      </c>
    </row>
    <row r="22" ht="15.75" customHeight="1">
      <c r="A22" s="42" t="s">
        <v>246</v>
      </c>
      <c r="B22" s="42" t="s">
        <v>403</v>
      </c>
      <c r="C22" s="42" t="s">
        <v>479</v>
      </c>
      <c r="D22" s="42" t="s">
        <v>480</v>
      </c>
      <c r="E22" s="42" t="s">
        <v>483</v>
      </c>
      <c r="F22" s="57">
        <v>26.6</v>
      </c>
      <c r="G22" s="42" t="s">
        <v>468</v>
      </c>
      <c r="H22" s="42" t="s">
        <v>86</v>
      </c>
      <c r="I22" s="42" t="s">
        <v>484</v>
      </c>
      <c r="J22" s="57">
        <v>4.0</v>
      </c>
      <c r="K22" s="57">
        <v>12.3</v>
      </c>
      <c r="L22" s="57">
        <v>26.6</v>
      </c>
      <c r="M22" s="57">
        <v>100.0</v>
      </c>
      <c r="N22" s="42" t="s">
        <v>1584</v>
      </c>
      <c r="O22" s="42" t="s">
        <v>263</v>
      </c>
      <c r="P22" s="43">
        <v>46215.0</v>
      </c>
      <c r="R22" s="79" t="s">
        <v>1128</v>
      </c>
      <c r="S22" s="79" t="s">
        <v>1589</v>
      </c>
      <c r="T22" s="80">
        <v>0.05</v>
      </c>
    </row>
    <row r="23" ht="15.75" customHeight="1">
      <c r="A23" s="42" t="s">
        <v>246</v>
      </c>
      <c r="B23" s="42" t="s">
        <v>403</v>
      </c>
      <c r="C23" s="42" t="s">
        <v>485</v>
      </c>
      <c r="D23" s="42" t="s">
        <v>486</v>
      </c>
      <c r="E23" s="42" t="s">
        <v>487</v>
      </c>
      <c r="F23" s="57">
        <v>40.2</v>
      </c>
      <c r="G23" s="42" t="s">
        <v>468</v>
      </c>
      <c r="H23" s="42" t="s">
        <v>86</v>
      </c>
      <c r="I23" s="42" t="s">
        <v>488</v>
      </c>
      <c r="J23" s="57">
        <v>6.0</v>
      </c>
      <c r="K23" s="57">
        <v>16.0</v>
      </c>
      <c r="L23" s="57">
        <v>44.4</v>
      </c>
      <c r="M23" s="57">
        <v>85.21</v>
      </c>
      <c r="N23" s="42" t="s">
        <v>1584</v>
      </c>
      <c r="O23" s="42" t="s">
        <v>263</v>
      </c>
      <c r="P23" s="43">
        <v>46215.0</v>
      </c>
    </row>
    <row r="24" ht="15.75" customHeight="1">
      <c r="A24" s="42" t="s">
        <v>246</v>
      </c>
      <c r="B24" s="42" t="s">
        <v>403</v>
      </c>
      <c r="C24" s="42" t="s">
        <v>383</v>
      </c>
      <c r="D24" s="42" t="s">
        <v>489</v>
      </c>
      <c r="E24" s="42" t="s">
        <v>476</v>
      </c>
      <c r="F24" s="57">
        <v>72.1</v>
      </c>
      <c r="G24" s="42" t="s">
        <v>468</v>
      </c>
      <c r="H24" s="42" t="s">
        <v>86</v>
      </c>
      <c r="I24" s="42" t="s">
        <v>489</v>
      </c>
      <c r="J24" s="57">
        <v>3.0</v>
      </c>
      <c r="K24" s="57">
        <v>33.6</v>
      </c>
      <c r="L24" s="57">
        <v>77.1</v>
      </c>
      <c r="M24" s="57">
        <v>88.51</v>
      </c>
      <c r="N24" s="42" t="s">
        <v>1584</v>
      </c>
      <c r="O24" s="42" t="s">
        <v>263</v>
      </c>
      <c r="P24" s="43">
        <v>46215.0</v>
      </c>
    </row>
    <row r="25" ht="15.75" customHeight="1">
      <c r="A25" s="42" t="s">
        <v>246</v>
      </c>
      <c r="B25" s="42" t="s">
        <v>410</v>
      </c>
      <c r="C25" s="42" t="s">
        <v>466</v>
      </c>
      <c r="D25" s="42" t="s">
        <v>37</v>
      </c>
      <c r="E25" s="42" t="s">
        <v>490</v>
      </c>
      <c r="F25" s="57">
        <v>49.6</v>
      </c>
      <c r="G25" s="42" t="s">
        <v>468</v>
      </c>
      <c r="H25" s="42" t="s">
        <v>86</v>
      </c>
      <c r="I25" s="42" t="s">
        <v>469</v>
      </c>
      <c r="J25" s="57">
        <v>3.0</v>
      </c>
      <c r="K25" s="57">
        <v>49.6</v>
      </c>
      <c r="L25" s="57">
        <v>55.1</v>
      </c>
      <c r="M25" s="57">
        <v>0.0</v>
      </c>
      <c r="N25" s="42" t="s">
        <v>1584</v>
      </c>
      <c r="O25" s="42" t="s">
        <v>263</v>
      </c>
      <c r="P25" s="43">
        <v>46215.0</v>
      </c>
      <c r="R25" s="6" t="s">
        <v>1592</v>
      </c>
      <c r="S25" s="6" t="s">
        <v>1593</v>
      </c>
    </row>
    <row r="26" ht="15.75" customHeight="1">
      <c r="A26" s="42" t="s">
        <v>246</v>
      </c>
      <c r="B26" s="42" t="s">
        <v>410</v>
      </c>
      <c r="C26" s="42" t="s">
        <v>466</v>
      </c>
      <c r="D26" s="42" t="s">
        <v>41</v>
      </c>
      <c r="E26" s="42" t="s">
        <v>498</v>
      </c>
      <c r="F26" s="57">
        <v>78.0</v>
      </c>
      <c r="G26" s="42" t="s">
        <v>468</v>
      </c>
      <c r="H26" s="42" t="s">
        <v>86</v>
      </c>
      <c r="I26" s="42" t="s">
        <v>499</v>
      </c>
      <c r="J26" s="57">
        <v>1.0</v>
      </c>
      <c r="K26" s="57">
        <v>78.0</v>
      </c>
      <c r="L26" s="57">
        <v>78.0</v>
      </c>
      <c r="M26" s="57"/>
      <c r="N26" s="42" t="s">
        <v>1591</v>
      </c>
      <c r="O26" s="42" t="s">
        <v>500</v>
      </c>
      <c r="P26" s="43">
        <v>46215.0</v>
      </c>
      <c r="R26" s="79" t="s">
        <v>1173</v>
      </c>
      <c r="S26" s="79" t="s">
        <v>1594</v>
      </c>
    </row>
    <row r="27" ht="15.75" customHeight="1">
      <c r="A27" s="42" t="s">
        <v>246</v>
      </c>
      <c r="B27" s="42" t="s">
        <v>410</v>
      </c>
      <c r="C27" s="42" t="s">
        <v>472</v>
      </c>
      <c r="D27" s="42" t="s">
        <v>473</v>
      </c>
      <c r="E27" s="42" t="s">
        <v>474</v>
      </c>
      <c r="F27" s="57">
        <v>58.0</v>
      </c>
      <c r="G27" s="42" t="s">
        <v>468</v>
      </c>
      <c r="H27" s="42" t="s">
        <v>86</v>
      </c>
      <c r="I27" s="42" t="s">
        <v>38</v>
      </c>
      <c r="J27" s="57">
        <v>5.0</v>
      </c>
      <c r="K27" s="57">
        <v>58.0</v>
      </c>
      <c r="L27" s="57">
        <v>76.2</v>
      </c>
      <c r="M27" s="57">
        <v>0.0</v>
      </c>
      <c r="N27" s="42" t="s">
        <v>1584</v>
      </c>
      <c r="O27" s="42" t="s">
        <v>263</v>
      </c>
      <c r="P27" s="43">
        <v>46215.0</v>
      </c>
      <c r="R27" s="79" t="s">
        <v>1174</v>
      </c>
      <c r="S27" s="79" t="s">
        <v>1595</v>
      </c>
    </row>
    <row r="28" ht="15.75" customHeight="1">
      <c r="A28" s="42" t="s">
        <v>246</v>
      </c>
      <c r="B28" s="42" t="s">
        <v>410</v>
      </c>
      <c r="C28" s="42" t="s">
        <v>475</v>
      </c>
      <c r="D28" s="42" t="s">
        <v>43</v>
      </c>
      <c r="E28" s="42" t="s">
        <v>476</v>
      </c>
      <c r="F28" s="57">
        <v>62.0</v>
      </c>
      <c r="G28" s="42" t="s">
        <v>468</v>
      </c>
      <c r="H28" s="42" t="s">
        <v>86</v>
      </c>
      <c r="I28" s="42" t="s">
        <v>43</v>
      </c>
      <c r="J28" s="57">
        <v>3.0</v>
      </c>
      <c r="K28" s="57">
        <v>62.0</v>
      </c>
      <c r="L28" s="57">
        <v>83.6</v>
      </c>
      <c r="M28" s="57">
        <v>0.0</v>
      </c>
      <c r="N28" s="42" t="s">
        <v>1584</v>
      </c>
      <c r="O28" s="42" t="s">
        <v>263</v>
      </c>
      <c r="P28" s="43">
        <v>46215.0</v>
      </c>
      <c r="R28" s="79" t="s">
        <v>1175</v>
      </c>
      <c r="S28" s="79" t="s">
        <v>1596</v>
      </c>
    </row>
    <row r="29" ht="15.75" customHeight="1">
      <c r="A29" s="42" t="s">
        <v>246</v>
      </c>
      <c r="B29" s="42" t="s">
        <v>410</v>
      </c>
      <c r="C29" s="42" t="s">
        <v>475</v>
      </c>
      <c r="D29" s="42" t="s">
        <v>42</v>
      </c>
      <c r="E29" s="42" t="s">
        <v>476</v>
      </c>
      <c r="F29" s="57">
        <v>49.4</v>
      </c>
      <c r="G29" s="42" t="s">
        <v>468</v>
      </c>
      <c r="H29" s="42" t="s">
        <v>86</v>
      </c>
      <c r="I29" s="42" t="s">
        <v>42</v>
      </c>
      <c r="J29" s="57">
        <v>3.0</v>
      </c>
      <c r="K29" s="57">
        <v>48.5</v>
      </c>
      <c r="L29" s="57">
        <v>56.5</v>
      </c>
      <c r="M29" s="57">
        <v>11.25</v>
      </c>
      <c r="N29" s="42" t="s">
        <v>1584</v>
      </c>
      <c r="O29" s="42" t="s">
        <v>263</v>
      </c>
      <c r="P29" s="43">
        <v>46215.0</v>
      </c>
      <c r="R29" s="79" t="s">
        <v>1176</v>
      </c>
      <c r="S29" s="79" t="s">
        <v>1597</v>
      </c>
    </row>
    <row r="30" ht="15.75" customHeight="1">
      <c r="A30" s="42" t="s">
        <v>246</v>
      </c>
      <c r="B30" s="42" t="s">
        <v>410</v>
      </c>
      <c r="C30" s="42" t="s">
        <v>477</v>
      </c>
      <c r="D30" s="42" t="s">
        <v>478</v>
      </c>
      <c r="E30" s="42" t="s">
        <v>476</v>
      </c>
      <c r="F30" s="57">
        <v>65.1</v>
      </c>
      <c r="G30" s="42" t="s">
        <v>468</v>
      </c>
      <c r="H30" s="42" t="s">
        <v>86</v>
      </c>
      <c r="I30" s="42" t="s">
        <v>478</v>
      </c>
      <c r="J30" s="57">
        <v>3.0</v>
      </c>
      <c r="K30" s="57">
        <v>65.1</v>
      </c>
      <c r="L30" s="57">
        <v>78.4</v>
      </c>
      <c r="M30" s="57">
        <v>0.0</v>
      </c>
      <c r="N30" s="42" t="s">
        <v>1584</v>
      </c>
      <c r="O30" s="42" t="s">
        <v>263</v>
      </c>
      <c r="P30" s="43">
        <v>46215.0</v>
      </c>
      <c r="R30" s="79" t="s">
        <v>1177</v>
      </c>
      <c r="S30" s="79" t="s">
        <v>1598</v>
      </c>
    </row>
    <row r="31" ht="15.75" customHeight="1">
      <c r="A31" s="42" t="s">
        <v>246</v>
      </c>
      <c r="B31" s="42" t="s">
        <v>410</v>
      </c>
      <c r="C31" s="42" t="s">
        <v>479</v>
      </c>
      <c r="D31" s="42" t="s">
        <v>480</v>
      </c>
      <c r="E31" s="42" t="s">
        <v>481</v>
      </c>
      <c r="F31" s="57">
        <v>67.2</v>
      </c>
      <c r="G31" s="42" t="s">
        <v>468</v>
      </c>
      <c r="H31" s="42" t="s">
        <v>86</v>
      </c>
      <c r="I31" s="42" t="s">
        <v>482</v>
      </c>
      <c r="J31" s="57">
        <v>4.0</v>
      </c>
      <c r="K31" s="57">
        <v>60.1</v>
      </c>
      <c r="L31" s="57">
        <v>84.9</v>
      </c>
      <c r="M31" s="57">
        <v>28.63</v>
      </c>
      <c r="N31" s="42" t="s">
        <v>1584</v>
      </c>
      <c r="O31" s="42" t="s">
        <v>263</v>
      </c>
      <c r="P31" s="43">
        <v>46215.0</v>
      </c>
      <c r="R31" s="79" t="s">
        <v>1178</v>
      </c>
      <c r="S31" s="79" t="s">
        <v>1599</v>
      </c>
    </row>
    <row r="32" ht="15.75" customHeight="1">
      <c r="A32" s="42" t="s">
        <v>246</v>
      </c>
      <c r="B32" s="42" t="s">
        <v>410</v>
      </c>
      <c r="C32" s="42" t="s">
        <v>479</v>
      </c>
      <c r="D32" s="42" t="s">
        <v>480</v>
      </c>
      <c r="E32" s="42" t="s">
        <v>483</v>
      </c>
      <c r="F32" s="57">
        <v>22.1</v>
      </c>
      <c r="G32" s="42" t="s">
        <v>468</v>
      </c>
      <c r="H32" s="42" t="s">
        <v>86</v>
      </c>
      <c r="I32" s="42" t="s">
        <v>484</v>
      </c>
      <c r="J32" s="57">
        <v>4.0</v>
      </c>
      <c r="K32" s="57">
        <v>12.3</v>
      </c>
      <c r="L32" s="57">
        <v>26.6</v>
      </c>
      <c r="M32" s="57">
        <v>68.53</v>
      </c>
      <c r="N32" s="42" t="s">
        <v>1584</v>
      </c>
      <c r="O32" s="42" t="s">
        <v>263</v>
      </c>
      <c r="P32" s="43">
        <v>46215.0</v>
      </c>
    </row>
    <row r="33" ht="15.75" customHeight="1">
      <c r="A33" s="42" t="s">
        <v>246</v>
      </c>
      <c r="B33" s="42" t="s">
        <v>410</v>
      </c>
      <c r="C33" s="42" t="s">
        <v>485</v>
      </c>
      <c r="D33" s="42" t="s">
        <v>486</v>
      </c>
      <c r="E33" s="42" t="s">
        <v>487</v>
      </c>
      <c r="F33" s="57">
        <v>33.7</v>
      </c>
      <c r="G33" s="42" t="s">
        <v>468</v>
      </c>
      <c r="H33" s="42" t="s">
        <v>86</v>
      </c>
      <c r="I33" s="42" t="s">
        <v>488</v>
      </c>
      <c r="J33" s="57">
        <v>6.0</v>
      </c>
      <c r="K33" s="57">
        <v>16.0</v>
      </c>
      <c r="L33" s="57">
        <v>44.4</v>
      </c>
      <c r="M33" s="57">
        <v>62.32</v>
      </c>
      <c r="N33" s="42" t="s">
        <v>1584</v>
      </c>
      <c r="O33" s="42" t="s">
        <v>263</v>
      </c>
      <c r="P33" s="43">
        <v>46215.0</v>
      </c>
    </row>
    <row r="34" ht="15.75" customHeight="1">
      <c r="A34" s="42" t="s">
        <v>246</v>
      </c>
      <c r="B34" s="42" t="s">
        <v>410</v>
      </c>
      <c r="C34" s="42" t="s">
        <v>383</v>
      </c>
      <c r="D34" s="42" t="s">
        <v>489</v>
      </c>
      <c r="E34" s="42" t="s">
        <v>476</v>
      </c>
      <c r="F34" s="57">
        <v>33.6</v>
      </c>
      <c r="G34" s="42" t="s">
        <v>468</v>
      </c>
      <c r="H34" s="42" t="s">
        <v>86</v>
      </c>
      <c r="I34" s="42" t="s">
        <v>489</v>
      </c>
      <c r="J34" s="57">
        <v>3.0</v>
      </c>
      <c r="K34" s="57">
        <v>33.6</v>
      </c>
      <c r="L34" s="57">
        <v>77.1</v>
      </c>
      <c r="M34" s="57">
        <v>0.0</v>
      </c>
      <c r="N34" s="42" t="s">
        <v>1584</v>
      </c>
      <c r="O34" s="42" t="s">
        <v>263</v>
      </c>
      <c r="P34" s="43">
        <v>46215.0</v>
      </c>
      <c r="R34" s="6" t="s">
        <v>1600</v>
      </c>
      <c r="S34" s="6" t="s">
        <v>867</v>
      </c>
    </row>
    <row r="35" ht="15.75" customHeight="1">
      <c r="A35" s="42" t="s">
        <v>246</v>
      </c>
      <c r="B35" s="42" t="s">
        <v>248</v>
      </c>
      <c r="C35" s="42" t="s">
        <v>502</v>
      </c>
      <c r="D35" s="42" t="s">
        <v>503</v>
      </c>
      <c r="E35" s="42" t="s">
        <v>504</v>
      </c>
      <c r="F35" s="57">
        <v>363.0</v>
      </c>
      <c r="G35" s="42" t="s">
        <v>505</v>
      </c>
      <c r="H35" s="42" t="s">
        <v>86</v>
      </c>
      <c r="I35" s="42" t="s">
        <v>506</v>
      </c>
      <c r="J35" s="57">
        <v>2.0</v>
      </c>
      <c r="K35" s="57">
        <v>363.0</v>
      </c>
      <c r="L35" s="57">
        <v>366.0</v>
      </c>
      <c r="M35" s="57">
        <v>0.0</v>
      </c>
      <c r="N35" s="42" t="s">
        <v>1584</v>
      </c>
      <c r="O35" s="42" t="s">
        <v>263</v>
      </c>
      <c r="P35" s="43">
        <v>46215.0</v>
      </c>
      <c r="R35" s="79" t="s">
        <v>1601</v>
      </c>
      <c r="S35" s="79" t="s">
        <v>1602</v>
      </c>
    </row>
    <row r="36" ht="15.75" customHeight="1">
      <c r="A36" s="42" t="s">
        <v>246</v>
      </c>
      <c r="B36" s="42" t="s">
        <v>248</v>
      </c>
      <c r="C36" s="42" t="s">
        <v>466</v>
      </c>
      <c r="D36" s="42" t="s">
        <v>508</v>
      </c>
      <c r="E36" s="42" t="s">
        <v>509</v>
      </c>
      <c r="F36" s="57">
        <v>72.0</v>
      </c>
      <c r="G36" s="42" t="s">
        <v>468</v>
      </c>
      <c r="H36" s="42" t="s">
        <v>86</v>
      </c>
      <c r="I36" s="42" t="s">
        <v>510</v>
      </c>
      <c r="J36" s="57">
        <v>1.0</v>
      </c>
      <c r="K36" s="57">
        <v>72.0</v>
      </c>
      <c r="L36" s="57">
        <v>72.0</v>
      </c>
      <c r="M36" s="57"/>
      <c r="N36" s="42" t="s">
        <v>1591</v>
      </c>
      <c r="O36" s="42" t="s">
        <v>263</v>
      </c>
      <c r="P36" s="43">
        <v>46215.0</v>
      </c>
      <c r="R36" s="79" t="s">
        <v>1603</v>
      </c>
      <c r="S36" s="79" t="s">
        <v>1604</v>
      </c>
    </row>
    <row r="37" ht="15.75" customHeight="1">
      <c r="A37" s="42" t="s">
        <v>246</v>
      </c>
      <c r="B37" s="42" t="s">
        <v>248</v>
      </c>
      <c r="C37" s="42" t="s">
        <v>485</v>
      </c>
      <c r="D37" s="42" t="s">
        <v>45</v>
      </c>
      <c r="E37" s="42" t="s">
        <v>509</v>
      </c>
      <c r="F37" s="57">
        <v>86.9</v>
      </c>
      <c r="G37" s="42" t="s">
        <v>468</v>
      </c>
      <c r="H37" s="42" t="s">
        <v>86</v>
      </c>
      <c r="I37" s="42" t="s">
        <v>45</v>
      </c>
      <c r="J37" s="57">
        <v>3.0</v>
      </c>
      <c r="K37" s="57">
        <v>84.3</v>
      </c>
      <c r="L37" s="57">
        <v>90.4</v>
      </c>
      <c r="M37" s="57">
        <v>42.62</v>
      </c>
      <c r="N37" s="42" t="s">
        <v>1584</v>
      </c>
      <c r="O37" s="42" t="s">
        <v>263</v>
      </c>
      <c r="P37" s="43">
        <v>46215.0</v>
      </c>
      <c r="R37" s="79" t="s">
        <v>1605</v>
      </c>
      <c r="S37" s="79" t="s">
        <v>1606</v>
      </c>
    </row>
    <row r="38" ht="15.75" customHeight="1">
      <c r="A38" s="42" t="s">
        <v>246</v>
      </c>
      <c r="B38" s="42" t="s">
        <v>248</v>
      </c>
      <c r="C38" s="42" t="s">
        <v>495</v>
      </c>
      <c r="D38" s="42" t="s">
        <v>497</v>
      </c>
      <c r="E38" s="42" t="s">
        <v>509</v>
      </c>
      <c r="F38" s="57">
        <v>76.8</v>
      </c>
      <c r="G38" s="42" t="s">
        <v>468</v>
      </c>
      <c r="H38" s="42" t="s">
        <v>86</v>
      </c>
      <c r="I38" s="42" t="s">
        <v>497</v>
      </c>
      <c r="J38" s="57">
        <v>3.0</v>
      </c>
      <c r="K38" s="57">
        <v>76.8</v>
      </c>
      <c r="L38" s="57">
        <v>83.6</v>
      </c>
      <c r="M38" s="57">
        <v>0.0</v>
      </c>
      <c r="N38" s="42" t="s">
        <v>1584</v>
      </c>
      <c r="O38" s="42" t="s">
        <v>263</v>
      </c>
      <c r="P38" s="43">
        <v>46215.0</v>
      </c>
      <c r="R38" s="79" t="s">
        <v>1607</v>
      </c>
      <c r="S38" s="79" t="s">
        <v>1608</v>
      </c>
    </row>
    <row r="39" ht="15.75" customHeight="1">
      <c r="A39" s="42" t="s">
        <v>246</v>
      </c>
      <c r="B39" s="42" t="s">
        <v>248</v>
      </c>
      <c r="C39" s="42" t="s">
        <v>495</v>
      </c>
      <c r="D39" s="42" t="s">
        <v>496</v>
      </c>
      <c r="E39" s="42" t="s">
        <v>509</v>
      </c>
      <c r="F39" s="57">
        <v>73.2</v>
      </c>
      <c r="G39" s="42" t="s">
        <v>468</v>
      </c>
      <c r="H39" s="42" t="s">
        <v>86</v>
      </c>
      <c r="I39" s="42" t="s">
        <v>496</v>
      </c>
      <c r="J39" s="57">
        <v>2.0</v>
      </c>
      <c r="K39" s="57">
        <v>73.2</v>
      </c>
      <c r="L39" s="57">
        <v>84.2</v>
      </c>
      <c r="M39" s="57">
        <v>0.0</v>
      </c>
      <c r="N39" s="42" t="s">
        <v>1584</v>
      </c>
      <c r="O39" s="42" t="s">
        <v>263</v>
      </c>
      <c r="P39" s="43">
        <v>46215.0</v>
      </c>
      <c r="R39" s="79" t="s">
        <v>377</v>
      </c>
      <c r="S39" s="79" t="s">
        <v>1609</v>
      </c>
    </row>
    <row r="40" ht="15.75" customHeight="1">
      <c r="A40" s="42" t="s">
        <v>246</v>
      </c>
      <c r="B40" s="42" t="s">
        <v>248</v>
      </c>
      <c r="C40" s="42" t="s">
        <v>495</v>
      </c>
      <c r="D40" s="42" t="s">
        <v>511</v>
      </c>
      <c r="E40" s="42" t="s">
        <v>509</v>
      </c>
      <c r="F40" s="57">
        <v>84.8</v>
      </c>
      <c r="G40" s="42" t="s">
        <v>468</v>
      </c>
      <c r="H40" s="42" t="s">
        <v>86</v>
      </c>
      <c r="I40" s="42" t="s">
        <v>511</v>
      </c>
      <c r="J40" s="57">
        <v>1.0</v>
      </c>
      <c r="K40" s="57">
        <v>84.8</v>
      </c>
      <c r="L40" s="57">
        <v>84.8</v>
      </c>
      <c r="M40" s="57"/>
      <c r="N40" s="42" t="s">
        <v>1591</v>
      </c>
      <c r="O40" s="42" t="s">
        <v>263</v>
      </c>
      <c r="P40" s="43">
        <v>46215.0</v>
      </c>
    </row>
    <row r="41" ht="15.75" customHeight="1">
      <c r="A41" s="42" t="s">
        <v>246</v>
      </c>
      <c r="B41" s="42" t="s">
        <v>248</v>
      </c>
      <c r="C41" s="42" t="s">
        <v>512</v>
      </c>
      <c r="D41" s="42" t="s">
        <v>513</v>
      </c>
      <c r="E41" s="42" t="s">
        <v>509</v>
      </c>
      <c r="F41" s="57">
        <v>43.3</v>
      </c>
      <c r="G41" s="42" t="s">
        <v>468</v>
      </c>
      <c r="H41" s="42" t="s">
        <v>86</v>
      </c>
      <c r="I41" s="42" t="s">
        <v>513</v>
      </c>
      <c r="J41" s="57">
        <v>1.0</v>
      </c>
      <c r="K41" s="57">
        <v>43.3</v>
      </c>
      <c r="L41" s="57">
        <v>43.3</v>
      </c>
      <c r="M41" s="57"/>
      <c r="N41" s="42" t="s">
        <v>1591</v>
      </c>
      <c r="O41" s="42" t="s">
        <v>263</v>
      </c>
      <c r="P41" s="43">
        <v>46215.0</v>
      </c>
    </row>
    <row r="42" ht="15.75" customHeight="1">
      <c r="A42" s="42" t="s">
        <v>246</v>
      </c>
      <c r="B42" s="42" t="s">
        <v>248</v>
      </c>
      <c r="C42" s="42" t="s">
        <v>479</v>
      </c>
      <c r="D42" s="42" t="s">
        <v>480</v>
      </c>
      <c r="E42" s="42" t="s">
        <v>481</v>
      </c>
      <c r="F42" s="57">
        <v>60.1</v>
      </c>
      <c r="G42" s="42" t="s">
        <v>468</v>
      </c>
      <c r="H42" s="42" t="s">
        <v>86</v>
      </c>
      <c r="I42" s="42" t="s">
        <v>482</v>
      </c>
      <c r="J42" s="57">
        <v>4.0</v>
      </c>
      <c r="K42" s="57">
        <v>60.1</v>
      </c>
      <c r="L42" s="57">
        <v>84.9</v>
      </c>
      <c r="M42" s="57">
        <v>0.0</v>
      </c>
      <c r="N42" s="42" t="s">
        <v>1584</v>
      </c>
      <c r="O42" s="42" t="s">
        <v>263</v>
      </c>
      <c r="P42" s="43">
        <v>46215.0</v>
      </c>
    </row>
    <row r="43" ht="15.75" customHeight="1">
      <c r="A43" s="42" t="s">
        <v>246</v>
      </c>
      <c r="B43" s="42" t="s">
        <v>248</v>
      </c>
      <c r="C43" s="42" t="s">
        <v>479</v>
      </c>
      <c r="D43" s="42" t="s">
        <v>480</v>
      </c>
      <c r="E43" s="42" t="s">
        <v>483</v>
      </c>
      <c r="F43" s="57">
        <v>12.3</v>
      </c>
      <c r="G43" s="42" t="s">
        <v>468</v>
      </c>
      <c r="H43" s="42" t="s">
        <v>86</v>
      </c>
      <c r="I43" s="42" t="s">
        <v>484</v>
      </c>
      <c r="J43" s="57">
        <v>4.0</v>
      </c>
      <c r="K43" s="57">
        <v>12.3</v>
      </c>
      <c r="L43" s="57">
        <v>26.6</v>
      </c>
      <c r="M43" s="57">
        <v>0.0</v>
      </c>
      <c r="N43" s="42" t="s">
        <v>1584</v>
      </c>
      <c r="O43" s="42" t="s">
        <v>263</v>
      </c>
      <c r="P43" s="43">
        <v>46215.0</v>
      </c>
    </row>
    <row r="44" ht="15.75" customHeight="1">
      <c r="A44" s="42" t="s">
        <v>246</v>
      </c>
      <c r="B44" s="42" t="s">
        <v>248</v>
      </c>
      <c r="C44" s="42" t="s">
        <v>485</v>
      </c>
      <c r="D44" s="42" t="s">
        <v>486</v>
      </c>
      <c r="E44" s="42" t="s">
        <v>487</v>
      </c>
      <c r="F44" s="57">
        <v>16.0</v>
      </c>
      <c r="G44" s="42" t="s">
        <v>468</v>
      </c>
      <c r="H44" s="42" t="s">
        <v>86</v>
      </c>
      <c r="I44" s="42" t="s">
        <v>488</v>
      </c>
      <c r="J44" s="57">
        <v>6.0</v>
      </c>
      <c r="K44" s="57">
        <v>16.0</v>
      </c>
      <c r="L44" s="57">
        <v>44.4</v>
      </c>
      <c r="M44" s="57">
        <v>0.0</v>
      </c>
      <c r="N44" s="42" t="s">
        <v>1584</v>
      </c>
      <c r="O44" s="42" t="s">
        <v>263</v>
      </c>
      <c r="P44" s="43">
        <v>46215.0</v>
      </c>
    </row>
    <row r="45" ht="15.75" customHeight="1">
      <c r="A45" s="42" t="s">
        <v>246</v>
      </c>
      <c r="B45" s="42" t="s">
        <v>423</v>
      </c>
      <c r="C45" s="42" t="s">
        <v>466</v>
      </c>
      <c r="D45" s="42" t="s">
        <v>41</v>
      </c>
      <c r="E45" s="42" t="s">
        <v>514</v>
      </c>
      <c r="F45" s="57">
        <v>63.8</v>
      </c>
      <c r="G45" s="42" t="s">
        <v>468</v>
      </c>
      <c r="H45" s="42" t="s">
        <v>86</v>
      </c>
      <c r="I45" s="42" t="s">
        <v>515</v>
      </c>
      <c r="J45" s="57">
        <v>1.0</v>
      </c>
      <c r="K45" s="57">
        <v>63.8</v>
      </c>
      <c r="L45" s="57">
        <v>63.8</v>
      </c>
      <c r="M45" s="57"/>
      <c r="N45" s="42" t="s">
        <v>1591</v>
      </c>
      <c r="O45" s="42" t="s">
        <v>516</v>
      </c>
      <c r="P45" s="43">
        <v>46215.0</v>
      </c>
    </row>
    <row r="46" ht="15.75" customHeight="1">
      <c r="A46" s="42" t="s">
        <v>246</v>
      </c>
      <c r="B46" s="42" t="s">
        <v>423</v>
      </c>
      <c r="C46" s="42" t="s">
        <v>485</v>
      </c>
      <c r="D46" s="42" t="s">
        <v>486</v>
      </c>
      <c r="E46" s="42" t="s">
        <v>487</v>
      </c>
      <c r="F46" s="57">
        <v>18.8</v>
      </c>
      <c r="G46" s="42" t="s">
        <v>468</v>
      </c>
      <c r="H46" s="42" t="s">
        <v>86</v>
      </c>
      <c r="I46" s="42" t="s">
        <v>488</v>
      </c>
      <c r="J46" s="57">
        <v>6.0</v>
      </c>
      <c r="K46" s="57">
        <v>16.0</v>
      </c>
      <c r="L46" s="57">
        <v>44.4</v>
      </c>
      <c r="M46" s="57">
        <v>9.86</v>
      </c>
      <c r="N46" s="42" t="s">
        <v>1584</v>
      </c>
      <c r="O46" s="42" t="s">
        <v>516</v>
      </c>
      <c r="P46" s="43">
        <v>46215.0</v>
      </c>
    </row>
    <row r="47" ht="15.75" customHeight="1">
      <c r="A47" s="42" t="s">
        <v>246</v>
      </c>
      <c r="B47" s="42" t="s">
        <v>432</v>
      </c>
      <c r="C47" s="42" t="s">
        <v>466</v>
      </c>
      <c r="D47" s="42" t="s">
        <v>41</v>
      </c>
      <c r="E47" s="42" t="s">
        <v>518</v>
      </c>
      <c r="F47" s="57">
        <v>48.9</v>
      </c>
      <c r="G47" s="42" t="s">
        <v>468</v>
      </c>
      <c r="H47" s="42" t="s">
        <v>86</v>
      </c>
      <c r="I47" s="42" t="s">
        <v>519</v>
      </c>
      <c r="J47" s="57">
        <v>1.0</v>
      </c>
      <c r="K47" s="57">
        <v>48.9</v>
      </c>
      <c r="L47" s="57">
        <v>48.9</v>
      </c>
      <c r="M47" s="57"/>
      <c r="N47" s="42" t="s">
        <v>1591</v>
      </c>
      <c r="O47" s="42" t="s">
        <v>520</v>
      </c>
      <c r="P47" s="43">
        <v>46215.0</v>
      </c>
    </row>
    <row r="48" ht="15.75" customHeight="1">
      <c r="A48" s="42" t="s">
        <v>246</v>
      </c>
      <c r="B48" s="42" t="s">
        <v>440</v>
      </c>
      <c r="C48" s="42" t="s">
        <v>502</v>
      </c>
      <c r="D48" s="42" t="s">
        <v>503</v>
      </c>
      <c r="E48" s="42" t="s">
        <v>522</v>
      </c>
      <c r="F48" s="57">
        <v>366.0</v>
      </c>
      <c r="G48" s="42" t="s">
        <v>505</v>
      </c>
      <c r="H48" s="42" t="s">
        <v>86</v>
      </c>
      <c r="I48" s="42" t="s">
        <v>506</v>
      </c>
      <c r="J48" s="57">
        <v>2.0</v>
      </c>
      <c r="K48" s="57">
        <v>363.0</v>
      </c>
      <c r="L48" s="57">
        <v>366.0</v>
      </c>
      <c r="M48" s="57">
        <v>100.0</v>
      </c>
      <c r="N48" s="42" t="s">
        <v>1584</v>
      </c>
      <c r="O48" s="42" t="s">
        <v>263</v>
      </c>
      <c r="P48" s="43">
        <v>46215.0</v>
      </c>
    </row>
    <row r="49" ht="15.75" customHeight="1">
      <c r="A49" s="42" t="s">
        <v>246</v>
      </c>
      <c r="B49" s="42" t="s">
        <v>440</v>
      </c>
      <c r="C49" s="42" t="s">
        <v>466</v>
      </c>
      <c r="D49" s="42" t="s">
        <v>508</v>
      </c>
      <c r="E49" s="42" t="s">
        <v>443</v>
      </c>
      <c r="F49" s="57">
        <v>34.3</v>
      </c>
      <c r="G49" s="42" t="s">
        <v>468</v>
      </c>
      <c r="H49" s="42" t="s">
        <v>86</v>
      </c>
      <c r="I49" s="42" t="s">
        <v>523</v>
      </c>
      <c r="J49" s="57">
        <v>1.0</v>
      </c>
      <c r="K49" s="57">
        <v>34.3</v>
      </c>
      <c r="L49" s="57">
        <v>34.3</v>
      </c>
      <c r="M49" s="57"/>
      <c r="N49" s="42" t="s">
        <v>1591</v>
      </c>
      <c r="O49" s="42" t="s">
        <v>263</v>
      </c>
      <c r="P49" s="43">
        <v>46215.0</v>
      </c>
    </row>
    <row r="50" ht="15.75" customHeight="1">
      <c r="A50" s="42" t="s">
        <v>246</v>
      </c>
      <c r="B50" s="42" t="s">
        <v>440</v>
      </c>
      <c r="C50" s="42" t="s">
        <v>485</v>
      </c>
      <c r="D50" s="42" t="s">
        <v>45</v>
      </c>
      <c r="E50" s="42" t="s">
        <v>443</v>
      </c>
      <c r="F50" s="57">
        <v>66.7</v>
      </c>
      <c r="G50" s="42" t="s">
        <v>468</v>
      </c>
      <c r="H50" s="42" t="s">
        <v>86</v>
      </c>
      <c r="I50" s="42" t="s">
        <v>525</v>
      </c>
      <c r="J50" s="57">
        <v>1.0</v>
      </c>
      <c r="K50" s="57">
        <v>66.7</v>
      </c>
      <c r="L50" s="57">
        <v>66.7</v>
      </c>
      <c r="M50" s="57"/>
      <c r="N50" s="42" t="s">
        <v>1591</v>
      </c>
      <c r="O50" s="42" t="s">
        <v>263</v>
      </c>
      <c r="P50" s="43">
        <v>46215.0</v>
      </c>
    </row>
    <row r="51" ht="15.75" customHeight="1">
      <c r="A51" s="42" t="s">
        <v>246</v>
      </c>
      <c r="B51" s="42" t="s">
        <v>440</v>
      </c>
      <c r="C51" s="42" t="s">
        <v>495</v>
      </c>
      <c r="D51" s="42" t="s">
        <v>526</v>
      </c>
      <c r="E51" s="42" t="s">
        <v>443</v>
      </c>
      <c r="F51" s="57">
        <v>51.0</v>
      </c>
      <c r="G51" s="42" t="s">
        <v>468</v>
      </c>
      <c r="H51" s="42" t="s">
        <v>86</v>
      </c>
      <c r="I51" s="42" t="s">
        <v>527</v>
      </c>
      <c r="J51" s="57">
        <v>1.0</v>
      </c>
      <c r="K51" s="57">
        <v>51.0</v>
      </c>
      <c r="L51" s="57">
        <v>51.0</v>
      </c>
      <c r="M51" s="57"/>
      <c r="N51" s="42" t="s">
        <v>1591</v>
      </c>
      <c r="O51" s="42" t="s">
        <v>263</v>
      </c>
      <c r="P51" s="43">
        <v>46215.0</v>
      </c>
    </row>
    <row r="52" ht="15.75" customHeight="1">
      <c r="A52" s="42" t="s">
        <v>246</v>
      </c>
      <c r="B52" s="42" t="s">
        <v>440</v>
      </c>
      <c r="C52" s="42" t="s">
        <v>495</v>
      </c>
      <c r="D52" s="42" t="s">
        <v>496</v>
      </c>
      <c r="E52" s="42" t="s">
        <v>443</v>
      </c>
      <c r="F52" s="57">
        <v>55.5</v>
      </c>
      <c r="G52" s="42" t="s">
        <v>468</v>
      </c>
      <c r="H52" s="42" t="s">
        <v>86</v>
      </c>
      <c r="I52" s="42" t="s">
        <v>528</v>
      </c>
      <c r="J52" s="57">
        <v>1.0</v>
      </c>
      <c r="K52" s="57">
        <v>55.5</v>
      </c>
      <c r="L52" s="57">
        <v>55.5</v>
      </c>
      <c r="M52" s="57"/>
      <c r="N52" s="42" t="s">
        <v>1591</v>
      </c>
      <c r="O52" s="42" t="s">
        <v>263</v>
      </c>
      <c r="P52" s="43">
        <v>46215.0</v>
      </c>
    </row>
    <row r="53" ht="15.75" customHeight="1">
      <c r="A53" s="42" t="s">
        <v>246</v>
      </c>
      <c r="B53" s="42" t="s">
        <v>440</v>
      </c>
      <c r="C53" s="42" t="s">
        <v>495</v>
      </c>
      <c r="D53" s="42" t="s">
        <v>511</v>
      </c>
      <c r="E53" s="42" t="s">
        <v>443</v>
      </c>
      <c r="F53" s="57">
        <v>60.7</v>
      </c>
      <c r="G53" s="42" t="s">
        <v>468</v>
      </c>
      <c r="H53" s="42" t="s">
        <v>86</v>
      </c>
      <c r="I53" s="42" t="s">
        <v>529</v>
      </c>
      <c r="J53" s="57">
        <v>1.0</v>
      </c>
      <c r="K53" s="57">
        <v>60.7</v>
      </c>
      <c r="L53" s="57">
        <v>60.7</v>
      </c>
      <c r="M53" s="57"/>
      <c r="N53" s="42" t="s">
        <v>1591</v>
      </c>
      <c r="O53" s="42" t="s">
        <v>263</v>
      </c>
      <c r="P53" s="43">
        <v>46215.0</v>
      </c>
    </row>
    <row r="54" ht="15.75" customHeight="1">
      <c r="A54" s="42" t="s">
        <v>246</v>
      </c>
      <c r="B54" s="42" t="s">
        <v>440</v>
      </c>
      <c r="C54" s="42" t="s">
        <v>512</v>
      </c>
      <c r="D54" s="42" t="s">
        <v>530</v>
      </c>
      <c r="E54" s="42" t="s">
        <v>443</v>
      </c>
      <c r="F54" s="57">
        <v>11.5</v>
      </c>
      <c r="G54" s="42" t="s">
        <v>468</v>
      </c>
      <c r="H54" s="42" t="s">
        <v>86</v>
      </c>
      <c r="I54" s="42" t="s">
        <v>531</v>
      </c>
      <c r="J54" s="57">
        <v>1.0</v>
      </c>
      <c r="K54" s="57">
        <v>11.5</v>
      </c>
      <c r="L54" s="57">
        <v>11.5</v>
      </c>
      <c r="M54" s="57"/>
      <c r="N54" s="42" t="s">
        <v>1591</v>
      </c>
      <c r="O54" s="42" t="s">
        <v>263</v>
      </c>
      <c r="P54" s="43">
        <v>46215.0</v>
      </c>
    </row>
    <row r="55" ht="15.75" customHeight="1">
      <c r="A55" s="42" t="s">
        <v>246</v>
      </c>
      <c r="B55" s="42" t="s">
        <v>440</v>
      </c>
      <c r="C55" s="42" t="s">
        <v>479</v>
      </c>
      <c r="D55" s="42" t="s">
        <v>480</v>
      </c>
      <c r="E55" s="42" t="s">
        <v>532</v>
      </c>
      <c r="F55" s="57">
        <v>30.6</v>
      </c>
      <c r="G55" s="42" t="s">
        <v>468</v>
      </c>
      <c r="H55" s="42" t="s">
        <v>86</v>
      </c>
      <c r="I55" s="42" t="s">
        <v>533</v>
      </c>
      <c r="J55" s="57">
        <v>1.0</v>
      </c>
      <c r="K55" s="57">
        <v>30.6</v>
      </c>
      <c r="L55" s="57">
        <v>30.6</v>
      </c>
      <c r="M55" s="57"/>
      <c r="N55" s="42" t="s">
        <v>1591</v>
      </c>
      <c r="O55" s="42" t="s">
        <v>263</v>
      </c>
      <c r="P55" s="43">
        <v>46215.0</v>
      </c>
    </row>
    <row r="56" ht="15.75" customHeight="1">
      <c r="A56" s="42" t="s">
        <v>246</v>
      </c>
      <c r="B56" s="42" t="s">
        <v>440</v>
      </c>
      <c r="C56" s="42" t="s">
        <v>479</v>
      </c>
      <c r="D56" s="42" t="s">
        <v>480</v>
      </c>
      <c r="E56" s="42" t="s">
        <v>534</v>
      </c>
      <c r="F56" s="57">
        <v>5.4</v>
      </c>
      <c r="G56" s="42" t="s">
        <v>468</v>
      </c>
      <c r="H56" s="42" t="s">
        <v>86</v>
      </c>
      <c r="I56" s="42" t="s">
        <v>535</v>
      </c>
      <c r="J56" s="57">
        <v>1.0</v>
      </c>
      <c r="K56" s="57">
        <v>5.4</v>
      </c>
      <c r="L56" s="57">
        <v>5.4</v>
      </c>
      <c r="M56" s="57"/>
      <c r="N56" s="42" t="s">
        <v>1591</v>
      </c>
      <c r="O56" s="42" t="s">
        <v>263</v>
      </c>
      <c r="P56" s="43">
        <v>46215.0</v>
      </c>
    </row>
    <row r="57" ht="15.75" customHeight="1">
      <c r="A57" s="42" t="s">
        <v>246</v>
      </c>
      <c r="B57" s="42" t="s">
        <v>440</v>
      </c>
      <c r="C57" s="42" t="s">
        <v>485</v>
      </c>
      <c r="D57" s="42" t="s">
        <v>486</v>
      </c>
      <c r="E57" s="42" t="s">
        <v>443</v>
      </c>
      <c r="F57" s="57">
        <v>6.9</v>
      </c>
      <c r="G57" s="42" t="s">
        <v>468</v>
      </c>
      <c r="H57" s="42" t="s">
        <v>86</v>
      </c>
      <c r="I57" s="42" t="s">
        <v>536</v>
      </c>
      <c r="J57" s="57">
        <v>1.0</v>
      </c>
      <c r="K57" s="57">
        <v>6.9</v>
      </c>
      <c r="L57" s="57">
        <v>6.9</v>
      </c>
      <c r="M57" s="57"/>
      <c r="N57" s="42" t="s">
        <v>1591</v>
      </c>
      <c r="O57" s="42" t="s">
        <v>263</v>
      </c>
      <c r="P57" s="43">
        <v>46215.0</v>
      </c>
    </row>
    <row r="58" ht="15.75" customHeight="1">
      <c r="A58" s="42" t="s">
        <v>246</v>
      </c>
      <c r="B58" s="42" t="s">
        <v>266</v>
      </c>
      <c r="C58" s="42" t="s">
        <v>466</v>
      </c>
      <c r="D58" s="42" t="s">
        <v>508</v>
      </c>
      <c r="E58" s="42" t="s">
        <v>537</v>
      </c>
      <c r="F58" s="57">
        <v>80.0</v>
      </c>
      <c r="G58" s="42" t="s">
        <v>468</v>
      </c>
      <c r="H58" s="42" t="s">
        <v>86</v>
      </c>
      <c r="I58" s="42" t="s">
        <v>538</v>
      </c>
      <c r="J58" s="57">
        <v>2.0</v>
      </c>
      <c r="K58" s="57">
        <v>68.3</v>
      </c>
      <c r="L58" s="57">
        <v>80.0</v>
      </c>
      <c r="M58" s="57">
        <v>100.0</v>
      </c>
      <c r="N58" s="42" t="s">
        <v>1584</v>
      </c>
      <c r="O58" s="42" t="s">
        <v>280</v>
      </c>
      <c r="P58" s="43">
        <v>46215.0</v>
      </c>
    </row>
    <row r="59" ht="15.75" customHeight="1">
      <c r="A59" s="42" t="s">
        <v>246</v>
      </c>
      <c r="B59" s="42" t="s">
        <v>266</v>
      </c>
      <c r="C59" s="42" t="s">
        <v>466</v>
      </c>
      <c r="D59" s="42" t="s">
        <v>540</v>
      </c>
      <c r="E59" s="42" t="s">
        <v>541</v>
      </c>
      <c r="F59" s="57">
        <v>2150.0</v>
      </c>
      <c r="G59" s="42" t="s">
        <v>541</v>
      </c>
      <c r="H59" s="42" t="s">
        <v>86</v>
      </c>
      <c r="I59" s="42" t="s">
        <v>542</v>
      </c>
      <c r="J59" s="57">
        <v>1.0</v>
      </c>
      <c r="K59" s="57">
        <v>2150.0</v>
      </c>
      <c r="L59" s="57">
        <v>2150.0</v>
      </c>
      <c r="M59" s="57"/>
      <c r="N59" s="42" t="s">
        <v>1591</v>
      </c>
      <c r="O59" s="42" t="s">
        <v>280</v>
      </c>
      <c r="P59" s="43">
        <v>46215.0</v>
      </c>
    </row>
    <row r="60" ht="15.75" customHeight="1">
      <c r="A60" s="42" t="s">
        <v>246</v>
      </c>
      <c r="B60" s="42" t="s">
        <v>266</v>
      </c>
      <c r="C60" s="42" t="s">
        <v>485</v>
      </c>
      <c r="D60" s="42" t="s">
        <v>45</v>
      </c>
      <c r="E60" s="42" t="s">
        <v>543</v>
      </c>
      <c r="F60" s="57">
        <v>84.3</v>
      </c>
      <c r="G60" s="42" t="s">
        <v>468</v>
      </c>
      <c r="H60" s="42" t="s">
        <v>86</v>
      </c>
      <c r="I60" s="42" t="s">
        <v>45</v>
      </c>
      <c r="J60" s="57">
        <v>3.0</v>
      </c>
      <c r="K60" s="57">
        <v>84.3</v>
      </c>
      <c r="L60" s="57">
        <v>90.4</v>
      </c>
      <c r="M60" s="57">
        <v>0.0</v>
      </c>
      <c r="N60" s="42" t="s">
        <v>1584</v>
      </c>
      <c r="O60" s="42" t="s">
        <v>280</v>
      </c>
      <c r="P60" s="43">
        <v>46215.0</v>
      </c>
    </row>
    <row r="61" ht="15.75" customHeight="1">
      <c r="A61" s="42" t="s">
        <v>246</v>
      </c>
      <c r="B61" s="42" t="s">
        <v>266</v>
      </c>
      <c r="C61" s="42" t="s">
        <v>491</v>
      </c>
      <c r="D61" s="42" t="s">
        <v>544</v>
      </c>
      <c r="E61" s="42" t="s">
        <v>545</v>
      </c>
      <c r="F61" s="57">
        <v>76.9</v>
      </c>
      <c r="G61" s="42" t="s">
        <v>468</v>
      </c>
      <c r="H61" s="42" t="s">
        <v>86</v>
      </c>
      <c r="I61" s="42" t="s">
        <v>546</v>
      </c>
      <c r="J61" s="57">
        <v>1.0</v>
      </c>
      <c r="K61" s="57">
        <v>76.9</v>
      </c>
      <c r="L61" s="57">
        <v>76.9</v>
      </c>
      <c r="M61" s="57"/>
      <c r="N61" s="42" t="s">
        <v>1591</v>
      </c>
      <c r="O61" s="42" t="s">
        <v>280</v>
      </c>
      <c r="P61" s="43">
        <v>46215.0</v>
      </c>
    </row>
    <row r="62" ht="15.75" customHeight="1">
      <c r="A62" s="42" t="s">
        <v>246</v>
      </c>
      <c r="B62" s="42" t="s">
        <v>266</v>
      </c>
      <c r="C62" s="42" t="s">
        <v>485</v>
      </c>
      <c r="D62" s="42" t="s">
        <v>486</v>
      </c>
      <c r="E62" s="42" t="s">
        <v>487</v>
      </c>
      <c r="F62" s="57">
        <v>19.5</v>
      </c>
      <c r="G62" s="42" t="s">
        <v>468</v>
      </c>
      <c r="H62" s="42" t="s">
        <v>86</v>
      </c>
      <c r="I62" s="42" t="s">
        <v>488</v>
      </c>
      <c r="J62" s="57">
        <v>6.0</v>
      </c>
      <c r="K62" s="57">
        <v>16.0</v>
      </c>
      <c r="L62" s="57">
        <v>44.4</v>
      </c>
      <c r="M62" s="57">
        <v>12.32</v>
      </c>
      <c r="N62" s="42" t="s">
        <v>1584</v>
      </c>
      <c r="O62" s="42" t="s">
        <v>280</v>
      </c>
      <c r="P62" s="43">
        <v>46215.0</v>
      </c>
    </row>
    <row r="63" ht="15.75" customHeight="1">
      <c r="A63" s="42" t="s">
        <v>246</v>
      </c>
      <c r="B63" s="42" t="s">
        <v>266</v>
      </c>
      <c r="C63" s="42" t="s">
        <v>547</v>
      </c>
      <c r="D63" s="42" t="s">
        <v>486</v>
      </c>
      <c r="E63" s="42" t="s">
        <v>548</v>
      </c>
      <c r="F63" s="57">
        <v>26.5</v>
      </c>
      <c r="G63" s="42" t="s">
        <v>468</v>
      </c>
      <c r="H63" s="42" t="s">
        <v>86</v>
      </c>
      <c r="I63" s="42" t="s">
        <v>549</v>
      </c>
      <c r="J63" s="57">
        <v>1.0</v>
      </c>
      <c r="K63" s="57">
        <v>26.5</v>
      </c>
      <c r="L63" s="57">
        <v>26.5</v>
      </c>
      <c r="M63" s="57"/>
      <c r="N63" s="42" t="s">
        <v>1591</v>
      </c>
      <c r="O63" s="42" t="s">
        <v>280</v>
      </c>
      <c r="P63" s="43">
        <v>46215.0</v>
      </c>
    </row>
    <row r="64" ht="15.75" customHeight="1">
      <c r="A64" s="42" t="s">
        <v>246</v>
      </c>
      <c r="B64" s="42" t="s">
        <v>266</v>
      </c>
      <c r="C64" s="42" t="s">
        <v>485</v>
      </c>
      <c r="D64" s="42" t="s">
        <v>550</v>
      </c>
      <c r="E64" s="42" t="s">
        <v>543</v>
      </c>
      <c r="F64" s="57">
        <v>85.2</v>
      </c>
      <c r="G64" s="42" t="s">
        <v>468</v>
      </c>
      <c r="H64" s="42" t="s">
        <v>86</v>
      </c>
      <c r="I64" s="42" t="s">
        <v>550</v>
      </c>
      <c r="J64" s="57">
        <v>1.0</v>
      </c>
      <c r="K64" s="57">
        <v>85.2</v>
      </c>
      <c r="L64" s="57">
        <v>85.2</v>
      </c>
      <c r="M64" s="57"/>
      <c r="N64" s="42" t="s">
        <v>1591</v>
      </c>
      <c r="O64" s="42" t="s">
        <v>280</v>
      </c>
      <c r="P64" s="43">
        <v>46215.0</v>
      </c>
    </row>
    <row r="65" ht="15.75" customHeight="1">
      <c r="A65" s="42" t="s">
        <v>246</v>
      </c>
      <c r="B65" s="42" t="s">
        <v>266</v>
      </c>
      <c r="C65" s="42" t="s">
        <v>383</v>
      </c>
      <c r="D65" s="42" t="s">
        <v>551</v>
      </c>
      <c r="E65" s="42" t="s">
        <v>487</v>
      </c>
      <c r="F65" s="57">
        <v>89.2</v>
      </c>
      <c r="G65" s="42" t="s">
        <v>468</v>
      </c>
      <c r="H65" s="42" t="s">
        <v>86</v>
      </c>
      <c r="I65" s="42" t="s">
        <v>552</v>
      </c>
      <c r="J65" s="57">
        <v>1.0</v>
      </c>
      <c r="K65" s="57">
        <v>89.2</v>
      </c>
      <c r="L65" s="57">
        <v>89.2</v>
      </c>
      <c r="M65" s="57"/>
      <c r="N65" s="42" t="s">
        <v>1591</v>
      </c>
      <c r="O65" s="42" t="s">
        <v>280</v>
      </c>
      <c r="P65" s="43">
        <v>46215.0</v>
      </c>
    </row>
    <row r="66" ht="15.75" customHeight="1">
      <c r="A66" s="42" t="s">
        <v>246</v>
      </c>
      <c r="B66" s="42" t="s">
        <v>266</v>
      </c>
      <c r="C66" s="42" t="s">
        <v>495</v>
      </c>
      <c r="D66" s="42" t="s">
        <v>497</v>
      </c>
      <c r="E66" s="42" t="s">
        <v>543</v>
      </c>
      <c r="F66" s="57">
        <v>76.9</v>
      </c>
      <c r="G66" s="42" t="s">
        <v>468</v>
      </c>
      <c r="H66" s="42" t="s">
        <v>86</v>
      </c>
      <c r="I66" s="42" t="s">
        <v>497</v>
      </c>
      <c r="J66" s="57">
        <v>3.0</v>
      </c>
      <c r="K66" s="57">
        <v>76.8</v>
      </c>
      <c r="L66" s="57">
        <v>83.6</v>
      </c>
      <c r="M66" s="57">
        <v>1.47</v>
      </c>
      <c r="N66" s="42" t="s">
        <v>1584</v>
      </c>
      <c r="O66" s="42" t="s">
        <v>280</v>
      </c>
      <c r="P66" s="43">
        <v>46215.0</v>
      </c>
    </row>
    <row r="67" ht="15.75" customHeight="1">
      <c r="A67" s="42" t="s">
        <v>246</v>
      </c>
      <c r="B67" s="42" t="s">
        <v>266</v>
      </c>
      <c r="C67" s="42" t="s">
        <v>479</v>
      </c>
      <c r="D67" s="42" t="s">
        <v>553</v>
      </c>
      <c r="E67" s="42" t="s">
        <v>481</v>
      </c>
      <c r="F67" s="57">
        <v>66.4</v>
      </c>
      <c r="G67" s="42" t="s">
        <v>468</v>
      </c>
      <c r="H67" s="42" t="s">
        <v>86</v>
      </c>
      <c r="I67" s="42" t="s">
        <v>554</v>
      </c>
      <c r="J67" s="57">
        <v>1.0</v>
      </c>
      <c r="K67" s="57">
        <v>66.4</v>
      </c>
      <c r="L67" s="57">
        <v>66.4</v>
      </c>
      <c r="M67" s="57"/>
      <c r="N67" s="42" t="s">
        <v>1591</v>
      </c>
      <c r="O67" s="42" t="s">
        <v>280</v>
      </c>
      <c r="P67" s="43">
        <v>46215.0</v>
      </c>
    </row>
    <row r="68" ht="15.75" customHeight="1">
      <c r="A68" s="42" t="s">
        <v>555</v>
      </c>
      <c r="B68" s="42" t="s">
        <v>556</v>
      </c>
      <c r="C68" s="42" t="s">
        <v>466</v>
      </c>
      <c r="D68" s="42" t="s">
        <v>41</v>
      </c>
      <c r="E68" s="42" t="s">
        <v>557</v>
      </c>
      <c r="F68" s="57">
        <v>77.6</v>
      </c>
      <c r="G68" s="42" t="s">
        <v>468</v>
      </c>
      <c r="H68" s="42" t="s">
        <v>86</v>
      </c>
      <c r="I68" s="42" t="s">
        <v>558</v>
      </c>
      <c r="J68" s="57">
        <v>2.0</v>
      </c>
      <c r="K68" s="57">
        <v>72.2</v>
      </c>
      <c r="L68" s="57">
        <v>77.6</v>
      </c>
      <c r="M68" s="57">
        <v>100.0</v>
      </c>
      <c r="N68" s="42" t="s">
        <v>1584</v>
      </c>
      <c r="O68" s="42" t="s">
        <v>560</v>
      </c>
      <c r="P68" s="43">
        <v>46215.0</v>
      </c>
    </row>
    <row r="69" ht="15.75" customHeight="1">
      <c r="A69" s="42" t="s">
        <v>555</v>
      </c>
      <c r="B69" s="42" t="s">
        <v>556</v>
      </c>
      <c r="C69" s="42" t="s">
        <v>491</v>
      </c>
      <c r="D69" s="42" t="s">
        <v>562</v>
      </c>
      <c r="E69" s="42" t="s">
        <v>557</v>
      </c>
      <c r="F69" s="57">
        <v>91.4</v>
      </c>
      <c r="G69" s="42" t="s">
        <v>468</v>
      </c>
      <c r="H69" s="42" t="s">
        <v>86</v>
      </c>
      <c r="I69" s="42" t="s">
        <v>563</v>
      </c>
      <c r="J69" s="57">
        <v>1.0</v>
      </c>
      <c r="K69" s="57">
        <v>91.4</v>
      </c>
      <c r="L69" s="57">
        <v>91.4</v>
      </c>
      <c r="M69" s="57"/>
      <c r="N69" s="42" t="s">
        <v>1591</v>
      </c>
      <c r="O69" s="42" t="s">
        <v>560</v>
      </c>
      <c r="P69" s="43">
        <v>46215.0</v>
      </c>
    </row>
    <row r="70" ht="15.75" customHeight="1">
      <c r="A70" s="42" t="s">
        <v>555</v>
      </c>
      <c r="B70" s="42" t="s">
        <v>565</v>
      </c>
      <c r="C70" s="42" t="s">
        <v>466</v>
      </c>
      <c r="D70" s="42" t="s">
        <v>508</v>
      </c>
      <c r="E70" s="42" t="s">
        <v>566</v>
      </c>
      <c r="F70" s="57"/>
      <c r="G70" s="42" t="s">
        <v>567</v>
      </c>
      <c r="H70" s="42" t="s">
        <v>86</v>
      </c>
      <c r="I70" s="42" t="s">
        <v>568</v>
      </c>
      <c r="J70" s="57"/>
      <c r="K70" s="57"/>
      <c r="L70" s="57"/>
      <c r="M70" s="57"/>
      <c r="N70" s="42" t="s">
        <v>1610</v>
      </c>
      <c r="O70" s="42" t="s">
        <v>569</v>
      </c>
      <c r="P70" s="43">
        <v>46215.0</v>
      </c>
    </row>
    <row r="71" ht="15.75" customHeight="1">
      <c r="A71" s="42" t="s">
        <v>555</v>
      </c>
      <c r="B71" s="42" t="s">
        <v>565</v>
      </c>
      <c r="C71" s="42" t="s">
        <v>571</v>
      </c>
      <c r="D71" s="42" t="s">
        <v>572</v>
      </c>
      <c r="E71" s="42" t="s">
        <v>573</v>
      </c>
      <c r="F71" s="57">
        <v>40.0</v>
      </c>
      <c r="G71" s="42" t="s">
        <v>574</v>
      </c>
      <c r="H71" s="42" t="s">
        <v>86</v>
      </c>
      <c r="I71" s="42" t="s">
        <v>575</v>
      </c>
      <c r="J71" s="57">
        <v>2.0</v>
      </c>
      <c r="K71" s="57">
        <v>3.0</v>
      </c>
      <c r="L71" s="57">
        <v>40.0</v>
      </c>
      <c r="M71" s="57">
        <v>100.0</v>
      </c>
      <c r="N71" s="42" t="s">
        <v>1584</v>
      </c>
      <c r="O71" s="42" t="s">
        <v>569</v>
      </c>
      <c r="P71" s="43">
        <v>46215.0</v>
      </c>
    </row>
    <row r="72" ht="15.75" customHeight="1">
      <c r="A72" s="42" t="s">
        <v>555</v>
      </c>
      <c r="B72" s="42" t="s">
        <v>565</v>
      </c>
      <c r="C72" s="42" t="s">
        <v>577</v>
      </c>
      <c r="D72" s="42" t="s">
        <v>578</v>
      </c>
      <c r="E72" s="42" t="s">
        <v>573</v>
      </c>
      <c r="F72" s="57">
        <v>3.0</v>
      </c>
      <c r="G72" s="42" t="s">
        <v>579</v>
      </c>
      <c r="H72" s="42" t="s">
        <v>86</v>
      </c>
      <c r="I72" s="42" t="s">
        <v>575</v>
      </c>
      <c r="J72" s="57">
        <v>2.0</v>
      </c>
      <c r="K72" s="57">
        <v>3.0</v>
      </c>
      <c r="L72" s="57">
        <v>40.0</v>
      </c>
      <c r="M72" s="57">
        <v>0.0</v>
      </c>
      <c r="N72" s="42" t="s">
        <v>1584</v>
      </c>
      <c r="O72" s="42" t="s">
        <v>569</v>
      </c>
      <c r="P72" s="43">
        <v>46215.0</v>
      </c>
    </row>
    <row r="73" ht="15.75" customHeight="1">
      <c r="A73" s="42" t="s">
        <v>555</v>
      </c>
      <c r="B73" s="42" t="s">
        <v>581</v>
      </c>
      <c r="C73" s="42" t="s">
        <v>466</v>
      </c>
      <c r="D73" s="42" t="s">
        <v>582</v>
      </c>
      <c r="E73" s="42" t="s">
        <v>583</v>
      </c>
      <c r="F73" s="57"/>
      <c r="G73" s="42" t="s">
        <v>567</v>
      </c>
      <c r="H73" s="42" t="s">
        <v>86</v>
      </c>
      <c r="I73" s="42" t="s">
        <v>584</v>
      </c>
      <c r="J73" s="57"/>
      <c r="K73" s="57"/>
      <c r="L73" s="57"/>
      <c r="M73" s="57"/>
      <c r="N73" s="42" t="s">
        <v>1610</v>
      </c>
      <c r="O73" s="42" t="s">
        <v>585</v>
      </c>
      <c r="P73" s="43">
        <v>46215.0</v>
      </c>
    </row>
    <row r="74" ht="15.75" customHeight="1">
      <c r="A74" s="42" t="s">
        <v>555</v>
      </c>
      <c r="B74" s="42" t="s">
        <v>587</v>
      </c>
      <c r="C74" s="42" t="s">
        <v>588</v>
      </c>
      <c r="D74" s="42" t="s">
        <v>589</v>
      </c>
      <c r="E74" s="42" t="s">
        <v>590</v>
      </c>
      <c r="F74" s="57">
        <v>30.0</v>
      </c>
      <c r="G74" s="42" t="s">
        <v>591</v>
      </c>
      <c r="H74" s="42" t="s">
        <v>86</v>
      </c>
      <c r="I74" s="42" t="s">
        <v>592</v>
      </c>
      <c r="J74" s="57">
        <v>3.0</v>
      </c>
      <c r="K74" s="57">
        <v>10.0</v>
      </c>
      <c r="L74" s="57">
        <v>50.0</v>
      </c>
      <c r="M74" s="57">
        <v>50.0</v>
      </c>
      <c r="N74" s="42" t="s">
        <v>1584</v>
      </c>
      <c r="O74" s="42" t="s">
        <v>593</v>
      </c>
      <c r="P74" s="43">
        <v>46215.0</v>
      </c>
    </row>
    <row r="75" ht="15.75" customHeight="1">
      <c r="A75" s="42" t="s">
        <v>555</v>
      </c>
      <c r="B75" s="42" t="s">
        <v>587</v>
      </c>
      <c r="C75" s="42" t="s">
        <v>588</v>
      </c>
      <c r="D75" s="42" t="s">
        <v>595</v>
      </c>
      <c r="E75" s="42" t="s">
        <v>590</v>
      </c>
      <c r="F75" s="57">
        <v>10.0</v>
      </c>
      <c r="G75" s="42" t="s">
        <v>591</v>
      </c>
      <c r="H75" s="42" t="s">
        <v>86</v>
      </c>
      <c r="I75" s="42" t="s">
        <v>592</v>
      </c>
      <c r="J75" s="57">
        <v>3.0</v>
      </c>
      <c r="K75" s="57">
        <v>10.0</v>
      </c>
      <c r="L75" s="57">
        <v>50.0</v>
      </c>
      <c r="M75" s="57">
        <v>0.0</v>
      </c>
      <c r="N75" s="42" t="s">
        <v>1584</v>
      </c>
      <c r="O75" s="42" t="s">
        <v>593</v>
      </c>
      <c r="P75" s="43">
        <v>46215.0</v>
      </c>
    </row>
    <row r="76" ht="15.75" customHeight="1">
      <c r="A76" s="42" t="s">
        <v>555</v>
      </c>
      <c r="B76" s="42" t="s">
        <v>587</v>
      </c>
      <c r="C76" s="42" t="s">
        <v>588</v>
      </c>
      <c r="D76" s="42" t="s">
        <v>597</v>
      </c>
      <c r="E76" s="42" t="s">
        <v>590</v>
      </c>
      <c r="F76" s="57">
        <v>50.0</v>
      </c>
      <c r="G76" s="42" t="s">
        <v>574</v>
      </c>
      <c r="H76" s="42" t="s">
        <v>86</v>
      </c>
      <c r="I76" s="42" t="s">
        <v>592</v>
      </c>
      <c r="J76" s="57">
        <v>3.0</v>
      </c>
      <c r="K76" s="57">
        <v>10.0</v>
      </c>
      <c r="L76" s="57">
        <v>50.0</v>
      </c>
      <c r="M76" s="57">
        <v>100.0</v>
      </c>
      <c r="N76" s="42" t="s">
        <v>1584</v>
      </c>
      <c r="O76" s="42" t="s">
        <v>593</v>
      </c>
      <c r="P76" s="43">
        <v>46215.0</v>
      </c>
    </row>
    <row r="77" ht="15.75" customHeight="1">
      <c r="A77" s="42" t="s">
        <v>555</v>
      </c>
      <c r="B77" s="42" t="s">
        <v>599</v>
      </c>
      <c r="C77" s="42" t="s">
        <v>466</v>
      </c>
      <c r="D77" s="42" t="s">
        <v>41</v>
      </c>
      <c r="E77" s="42" t="s">
        <v>557</v>
      </c>
      <c r="F77" s="57">
        <v>72.2</v>
      </c>
      <c r="G77" s="42" t="s">
        <v>468</v>
      </c>
      <c r="H77" s="42" t="s">
        <v>86</v>
      </c>
      <c r="I77" s="42" t="s">
        <v>558</v>
      </c>
      <c r="J77" s="57">
        <v>2.0</v>
      </c>
      <c r="K77" s="57">
        <v>72.2</v>
      </c>
      <c r="L77" s="57">
        <v>77.6</v>
      </c>
      <c r="M77" s="57">
        <v>0.0</v>
      </c>
      <c r="N77" s="42" t="s">
        <v>1584</v>
      </c>
      <c r="O77" s="42" t="s">
        <v>600</v>
      </c>
      <c r="P77" s="43">
        <v>46215.0</v>
      </c>
    </row>
    <row r="78" ht="15.75" customHeight="1">
      <c r="A78" s="42" t="s">
        <v>283</v>
      </c>
      <c r="B78" s="42" t="s">
        <v>285</v>
      </c>
      <c r="C78" s="42" t="s">
        <v>466</v>
      </c>
      <c r="D78" s="42" t="s">
        <v>41</v>
      </c>
      <c r="E78" s="42" t="s">
        <v>602</v>
      </c>
      <c r="F78" s="57">
        <v>71.9</v>
      </c>
      <c r="G78" s="42" t="s">
        <v>468</v>
      </c>
      <c r="H78" s="42" t="s">
        <v>86</v>
      </c>
      <c r="I78" s="42" t="s">
        <v>603</v>
      </c>
      <c r="J78" s="57">
        <v>1.0</v>
      </c>
      <c r="K78" s="57">
        <v>71.9</v>
      </c>
      <c r="L78" s="57">
        <v>71.9</v>
      </c>
      <c r="M78" s="57"/>
      <c r="N78" s="42" t="s">
        <v>1591</v>
      </c>
      <c r="O78" s="42" t="s">
        <v>299</v>
      </c>
      <c r="P78" s="43">
        <v>46215.0</v>
      </c>
    </row>
    <row r="79" ht="15.75" customHeight="1">
      <c r="A79" s="42" t="s">
        <v>283</v>
      </c>
      <c r="B79" s="42" t="s">
        <v>285</v>
      </c>
      <c r="C79" s="42" t="s">
        <v>466</v>
      </c>
      <c r="D79" s="42" t="s">
        <v>41</v>
      </c>
      <c r="E79" s="42" t="s">
        <v>605</v>
      </c>
      <c r="F79" s="57">
        <v>69.7</v>
      </c>
      <c r="G79" s="42" t="s">
        <v>468</v>
      </c>
      <c r="H79" s="42" t="s">
        <v>86</v>
      </c>
      <c r="I79" s="42" t="s">
        <v>606</v>
      </c>
      <c r="J79" s="57">
        <v>1.0</v>
      </c>
      <c r="K79" s="57">
        <v>69.7</v>
      </c>
      <c r="L79" s="57">
        <v>69.7</v>
      </c>
      <c r="M79" s="57"/>
      <c r="N79" s="42" t="s">
        <v>1591</v>
      </c>
      <c r="O79" s="42" t="s">
        <v>299</v>
      </c>
      <c r="P79" s="43">
        <v>46215.0</v>
      </c>
    </row>
    <row r="80" ht="15.75" customHeight="1">
      <c r="A80" s="42" t="s">
        <v>283</v>
      </c>
      <c r="B80" s="42" t="s">
        <v>285</v>
      </c>
      <c r="C80" s="42" t="s">
        <v>472</v>
      </c>
      <c r="D80" s="42" t="s">
        <v>473</v>
      </c>
      <c r="E80" s="42" t="s">
        <v>608</v>
      </c>
      <c r="F80" s="57">
        <v>56.4</v>
      </c>
      <c r="G80" s="42" t="s">
        <v>468</v>
      </c>
      <c r="H80" s="42" t="s">
        <v>86</v>
      </c>
      <c r="I80" s="42" t="s">
        <v>609</v>
      </c>
      <c r="J80" s="57">
        <v>1.0</v>
      </c>
      <c r="K80" s="57">
        <v>56.4</v>
      </c>
      <c r="L80" s="57">
        <v>56.4</v>
      </c>
      <c r="M80" s="57"/>
      <c r="N80" s="42" t="s">
        <v>1591</v>
      </c>
      <c r="O80" s="42" t="s">
        <v>299</v>
      </c>
      <c r="P80" s="43">
        <v>46215.0</v>
      </c>
    </row>
    <row r="81" ht="15.75" customHeight="1">
      <c r="A81" s="42" t="s">
        <v>283</v>
      </c>
      <c r="B81" s="42" t="s">
        <v>285</v>
      </c>
      <c r="C81" s="42" t="s">
        <v>472</v>
      </c>
      <c r="D81" s="42" t="s">
        <v>473</v>
      </c>
      <c r="E81" s="42" t="s">
        <v>610</v>
      </c>
      <c r="F81" s="57">
        <v>53.9</v>
      </c>
      <c r="G81" s="42" t="s">
        <v>468</v>
      </c>
      <c r="H81" s="42" t="s">
        <v>86</v>
      </c>
      <c r="I81" s="42" t="s">
        <v>611</v>
      </c>
      <c r="J81" s="57">
        <v>1.0</v>
      </c>
      <c r="K81" s="57">
        <v>53.9</v>
      </c>
      <c r="L81" s="57">
        <v>53.9</v>
      </c>
      <c r="M81" s="57"/>
      <c r="N81" s="42" t="s">
        <v>1591</v>
      </c>
      <c r="O81" s="42" t="s">
        <v>299</v>
      </c>
      <c r="P81" s="43">
        <v>46215.0</v>
      </c>
    </row>
    <row r="82" ht="15.75" customHeight="1">
      <c r="A82" s="42" t="s">
        <v>283</v>
      </c>
      <c r="B82" s="42" t="s">
        <v>285</v>
      </c>
      <c r="C82" s="42" t="s">
        <v>466</v>
      </c>
      <c r="D82" s="42" t="s">
        <v>613</v>
      </c>
      <c r="E82" s="42" t="s">
        <v>602</v>
      </c>
      <c r="F82" s="57">
        <v>67.7</v>
      </c>
      <c r="G82" s="42" t="s">
        <v>468</v>
      </c>
      <c r="H82" s="42" t="s">
        <v>86</v>
      </c>
      <c r="I82" s="42" t="s">
        <v>614</v>
      </c>
      <c r="J82" s="57">
        <v>1.0</v>
      </c>
      <c r="K82" s="57">
        <v>67.7</v>
      </c>
      <c r="L82" s="57">
        <v>67.7</v>
      </c>
      <c r="M82" s="57"/>
      <c r="N82" s="42" t="s">
        <v>1591</v>
      </c>
      <c r="O82" s="42" t="s">
        <v>299</v>
      </c>
      <c r="P82" s="43">
        <v>46215.0</v>
      </c>
    </row>
    <row r="83" ht="15.75" customHeight="1">
      <c r="A83" s="42" t="s">
        <v>283</v>
      </c>
      <c r="B83" s="42" t="s">
        <v>285</v>
      </c>
      <c r="C83" s="42" t="s">
        <v>491</v>
      </c>
      <c r="D83" s="42" t="s">
        <v>615</v>
      </c>
      <c r="E83" s="42" t="s">
        <v>616</v>
      </c>
      <c r="F83" s="57">
        <v>70.9</v>
      </c>
      <c r="G83" s="42" t="s">
        <v>468</v>
      </c>
      <c r="H83" s="42" t="s">
        <v>86</v>
      </c>
      <c r="I83" s="42" t="s">
        <v>617</v>
      </c>
      <c r="J83" s="57">
        <v>1.0</v>
      </c>
      <c r="K83" s="57">
        <v>70.9</v>
      </c>
      <c r="L83" s="57">
        <v>70.9</v>
      </c>
      <c r="M83" s="57"/>
      <c r="N83" s="42" t="s">
        <v>1591</v>
      </c>
      <c r="O83" s="42" t="s">
        <v>299</v>
      </c>
      <c r="P83" s="43">
        <v>46215.0</v>
      </c>
    </row>
    <row r="84" ht="15.75" customHeight="1">
      <c r="A84" s="42" t="s">
        <v>283</v>
      </c>
      <c r="B84" s="42" t="s">
        <v>285</v>
      </c>
      <c r="C84" s="42" t="s">
        <v>485</v>
      </c>
      <c r="D84" s="42" t="s">
        <v>45</v>
      </c>
      <c r="E84" s="42" t="s">
        <v>618</v>
      </c>
      <c r="F84" s="57">
        <v>87.0</v>
      </c>
      <c r="G84" s="42" t="s">
        <v>468</v>
      </c>
      <c r="H84" s="42" t="s">
        <v>86</v>
      </c>
      <c r="I84" s="42" t="s">
        <v>619</v>
      </c>
      <c r="J84" s="57">
        <v>1.0</v>
      </c>
      <c r="K84" s="57">
        <v>87.0</v>
      </c>
      <c r="L84" s="57">
        <v>87.0</v>
      </c>
      <c r="M84" s="57"/>
      <c r="N84" s="42" t="s">
        <v>1591</v>
      </c>
      <c r="O84" s="42" t="s">
        <v>299</v>
      </c>
      <c r="P84" s="43">
        <v>46215.0</v>
      </c>
    </row>
    <row r="85" ht="15.75" customHeight="1">
      <c r="A85" s="42" t="s">
        <v>283</v>
      </c>
      <c r="B85" s="42" t="s">
        <v>285</v>
      </c>
      <c r="C85" s="42" t="s">
        <v>479</v>
      </c>
      <c r="D85" s="42" t="s">
        <v>620</v>
      </c>
      <c r="E85" s="42" t="s">
        <v>621</v>
      </c>
      <c r="F85" s="57">
        <v>94.7</v>
      </c>
      <c r="G85" s="42" t="s">
        <v>468</v>
      </c>
      <c r="H85" s="42" t="s">
        <v>86</v>
      </c>
      <c r="I85" s="42" t="s">
        <v>622</v>
      </c>
      <c r="J85" s="57">
        <v>1.0</v>
      </c>
      <c r="K85" s="57">
        <v>94.7</v>
      </c>
      <c r="L85" s="57">
        <v>94.7</v>
      </c>
      <c r="M85" s="57"/>
      <c r="N85" s="42" t="s">
        <v>1591</v>
      </c>
      <c r="O85" s="42" t="s">
        <v>299</v>
      </c>
      <c r="P85" s="43">
        <v>46215.0</v>
      </c>
    </row>
    <row r="86" ht="15.75" customHeight="1">
      <c r="A86" s="42" t="s">
        <v>283</v>
      </c>
      <c r="B86" s="42" t="s">
        <v>302</v>
      </c>
      <c r="C86" s="42" t="s">
        <v>466</v>
      </c>
      <c r="D86" s="42" t="s">
        <v>508</v>
      </c>
      <c r="E86" s="42" t="s">
        <v>623</v>
      </c>
      <c r="F86" s="57">
        <v>81.19</v>
      </c>
      <c r="G86" s="42" t="s">
        <v>468</v>
      </c>
      <c r="H86" s="42" t="s">
        <v>86</v>
      </c>
      <c r="I86" s="42" t="s">
        <v>624</v>
      </c>
      <c r="J86" s="57">
        <v>1.0</v>
      </c>
      <c r="K86" s="57">
        <v>81.19</v>
      </c>
      <c r="L86" s="57">
        <v>81.19</v>
      </c>
      <c r="M86" s="57"/>
      <c r="N86" s="42" t="s">
        <v>1591</v>
      </c>
      <c r="O86" s="42" t="s">
        <v>312</v>
      </c>
      <c r="P86" s="43">
        <v>46215.0</v>
      </c>
    </row>
    <row r="87" ht="15.75" customHeight="1">
      <c r="A87" s="42" t="s">
        <v>283</v>
      </c>
      <c r="B87" s="42" t="s">
        <v>302</v>
      </c>
      <c r="C87" s="42" t="s">
        <v>472</v>
      </c>
      <c r="D87" s="42" t="s">
        <v>625</v>
      </c>
      <c r="E87" s="42" t="s">
        <v>626</v>
      </c>
      <c r="F87" s="57">
        <v>31.0</v>
      </c>
      <c r="G87" s="42" t="s">
        <v>468</v>
      </c>
      <c r="H87" s="42" t="s">
        <v>86</v>
      </c>
      <c r="I87" s="42" t="s">
        <v>627</v>
      </c>
      <c r="J87" s="57">
        <v>1.0</v>
      </c>
      <c r="K87" s="57">
        <v>31.0</v>
      </c>
      <c r="L87" s="57">
        <v>31.0</v>
      </c>
      <c r="M87" s="57"/>
      <c r="N87" s="42" t="s">
        <v>1591</v>
      </c>
      <c r="O87" s="42" t="s">
        <v>312</v>
      </c>
      <c r="P87" s="43">
        <v>46215.0</v>
      </c>
    </row>
    <row r="88" ht="15.75" customHeight="1">
      <c r="A88" s="42" t="s">
        <v>283</v>
      </c>
      <c r="B88" s="42" t="s">
        <v>302</v>
      </c>
      <c r="C88" s="42" t="s">
        <v>466</v>
      </c>
      <c r="D88" s="42" t="s">
        <v>41</v>
      </c>
      <c r="E88" s="42" t="s">
        <v>628</v>
      </c>
      <c r="F88" s="57">
        <v>60.47</v>
      </c>
      <c r="G88" s="42" t="s">
        <v>468</v>
      </c>
      <c r="H88" s="42" t="s">
        <v>86</v>
      </c>
      <c r="I88" s="42" t="s">
        <v>629</v>
      </c>
      <c r="J88" s="57">
        <v>2.0</v>
      </c>
      <c r="K88" s="57">
        <v>38.8</v>
      </c>
      <c r="L88" s="57">
        <v>60.47</v>
      </c>
      <c r="M88" s="57">
        <v>100.0</v>
      </c>
      <c r="N88" s="42" t="s">
        <v>1584</v>
      </c>
      <c r="O88" s="42" t="s">
        <v>312</v>
      </c>
      <c r="P88" s="43">
        <v>46215.0</v>
      </c>
    </row>
    <row r="89" ht="15.75" customHeight="1">
      <c r="A89" s="42" t="s">
        <v>283</v>
      </c>
      <c r="B89" s="42" t="s">
        <v>302</v>
      </c>
      <c r="C89" s="42" t="s">
        <v>466</v>
      </c>
      <c r="D89" s="42" t="s">
        <v>41</v>
      </c>
      <c r="E89" s="42" t="s">
        <v>631</v>
      </c>
      <c r="F89" s="57">
        <v>59.2</v>
      </c>
      <c r="G89" s="42" t="s">
        <v>468</v>
      </c>
      <c r="H89" s="42" t="s">
        <v>86</v>
      </c>
      <c r="I89" s="42" t="s">
        <v>632</v>
      </c>
      <c r="J89" s="57">
        <v>1.0</v>
      </c>
      <c r="K89" s="57">
        <v>59.2</v>
      </c>
      <c r="L89" s="57">
        <v>59.2</v>
      </c>
      <c r="M89" s="57"/>
      <c r="N89" s="42" t="s">
        <v>1591</v>
      </c>
      <c r="O89" s="42" t="s">
        <v>312</v>
      </c>
      <c r="P89" s="43">
        <v>46215.0</v>
      </c>
    </row>
    <row r="90" ht="15.75" customHeight="1">
      <c r="A90" s="42" t="s">
        <v>283</v>
      </c>
      <c r="B90" s="42" t="s">
        <v>302</v>
      </c>
      <c r="C90" s="42" t="s">
        <v>466</v>
      </c>
      <c r="D90" s="42" t="s">
        <v>41</v>
      </c>
      <c r="E90" s="42" t="s">
        <v>633</v>
      </c>
      <c r="F90" s="57">
        <v>53.73</v>
      </c>
      <c r="G90" s="42" t="s">
        <v>468</v>
      </c>
      <c r="H90" s="42" t="s">
        <v>86</v>
      </c>
      <c r="I90" s="42" t="s">
        <v>634</v>
      </c>
      <c r="J90" s="57">
        <v>1.0</v>
      </c>
      <c r="K90" s="57">
        <v>53.73</v>
      </c>
      <c r="L90" s="57">
        <v>53.73</v>
      </c>
      <c r="M90" s="57"/>
      <c r="N90" s="42" t="s">
        <v>1591</v>
      </c>
      <c r="O90" s="42" t="s">
        <v>312</v>
      </c>
      <c r="P90" s="43">
        <v>46215.0</v>
      </c>
    </row>
    <row r="91" ht="15.75" customHeight="1">
      <c r="A91" s="42" t="s">
        <v>283</v>
      </c>
      <c r="B91" s="42" t="s">
        <v>302</v>
      </c>
      <c r="C91" s="42" t="s">
        <v>491</v>
      </c>
      <c r="D91" s="42" t="s">
        <v>635</v>
      </c>
      <c r="E91" s="42" t="s">
        <v>545</v>
      </c>
      <c r="F91" s="57">
        <v>61.15</v>
      </c>
      <c r="G91" s="42" t="s">
        <v>468</v>
      </c>
      <c r="H91" s="42" t="s">
        <v>86</v>
      </c>
      <c r="I91" s="42" t="s">
        <v>636</v>
      </c>
      <c r="J91" s="57">
        <v>2.0</v>
      </c>
      <c r="K91" s="57">
        <v>49.0</v>
      </c>
      <c r="L91" s="57">
        <v>61.15</v>
      </c>
      <c r="M91" s="57">
        <v>100.0</v>
      </c>
      <c r="N91" s="42" t="s">
        <v>1584</v>
      </c>
      <c r="O91" s="42" t="s">
        <v>312</v>
      </c>
      <c r="P91" s="43">
        <v>46215.0</v>
      </c>
    </row>
    <row r="92" ht="15.75" customHeight="1">
      <c r="A92" s="42" t="s">
        <v>283</v>
      </c>
      <c r="B92" s="42" t="s">
        <v>302</v>
      </c>
      <c r="C92" s="42" t="s">
        <v>485</v>
      </c>
      <c r="D92" s="42" t="s">
        <v>637</v>
      </c>
      <c r="E92" s="42" t="s">
        <v>487</v>
      </c>
      <c r="F92" s="57">
        <v>79.23</v>
      </c>
      <c r="G92" s="42" t="s">
        <v>468</v>
      </c>
      <c r="H92" s="42" t="s">
        <v>86</v>
      </c>
      <c r="I92" s="42" t="s">
        <v>638</v>
      </c>
      <c r="J92" s="57">
        <v>2.0</v>
      </c>
      <c r="K92" s="57">
        <v>73.0</v>
      </c>
      <c r="L92" s="57">
        <v>79.23</v>
      </c>
      <c r="M92" s="57">
        <v>100.0</v>
      </c>
      <c r="N92" s="42" t="s">
        <v>1584</v>
      </c>
      <c r="O92" s="42" t="s">
        <v>312</v>
      </c>
      <c r="P92" s="43">
        <v>46215.0</v>
      </c>
    </row>
    <row r="93" ht="15.75" customHeight="1">
      <c r="A93" s="42" t="s">
        <v>283</v>
      </c>
      <c r="B93" s="42" t="s">
        <v>302</v>
      </c>
      <c r="C93" s="42" t="s">
        <v>479</v>
      </c>
      <c r="D93" s="42" t="s">
        <v>620</v>
      </c>
      <c r="E93" s="42" t="s">
        <v>483</v>
      </c>
      <c r="F93" s="57">
        <v>91.75</v>
      </c>
      <c r="G93" s="42" t="s">
        <v>468</v>
      </c>
      <c r="H93" s="42" t="s">
        <v>86</v>
      </c>
      <c r="I93" s="42" t="s">
        <v>639</v>
      </c>
      <c r="J93" s="57">
        <v>2.0</v>
      </c>
      <c r="K93" s="57">
        <v>86.3</v>
      </c>
      <c r="L93" s="57">
        <v>91.75</v>
      </c>
      <c r="M93" s="57">
        <v>100.0</v>
      </c>
      <c r="N93" s="42" t="s">
        <v>1584</v>
      </c>
      <c r="O93" s="42" t="s">
        <v>312</v>
      </c>
      <c r="P93" s="43">
        <v>46215.0</v>
      </c>
    </row>
    <row r="94" ht="15.75" customHeight="1">
      <c r="A94" s="42" t="s">
        <v>283</v>
      </c>
      <c r="B94" s="42" t="s">
        <v>314</v>
      </c>
      <c r="C94" s="42" t="s">
        <v>466</v>
      </c>
      <c r="D94" s="42" t="s">
        <v>508</v>
      </c>
      <c r="E94" s="42" t="s">
        <v>537</v>
      </c>
      <c r="F94" s="57">
        <v>68.3</v>
      </c>
      <c r="G94" s="42" t="s">
        <v>468</v>
      </c>
      <c r="H94" s="42" t="s">
        <v>86</v>
      </c>
      <c r="I94" s="42" t="s">
        <v>538</v>
      </c>
      <c r="J94" s="57">
        <v>2.0</v>
      </c>
      <c r="K94" s="57">
        <v>68.3</v>
      </c>
      <c r="L94" s="57">
        <v>80.0</v>
      </c>
      <c r="M94" s="57">
        <v>0.0</v>
      </c>
      <c r="N94" s="42" t="s">
        <v>1584</v>
      </c>
      <c r="O94" s="42" t="s">
        <v>323</v>
      </c>
      <c r="P94" s="43">
        <v>46215.0</v>
      </c>
    </row>
    <row r="95" ht="15.75" customHeight="1">
      <c r="A95" s="42" t="s">
        <v>283</v>
      </c>
      <c r="B95" s="42" t="s">
        <v>314</v>
      </c>
      <c r="C95" s="42" t="s">
        <v>472</v>
      </c>
      <c r="D95" s="42" t="s">
        <v>473</v>
      </c>
      <c r="E95" s="42" t="s">
        <v>640</v>
      </c>
      <c r="F95" s="57">
        <v>8.5</v>
      </c>
      <c r="G95" s="42" t="s">
        <v>468</v>
      </c>
      <c r="H95" s="42" t="s">
        <v>86</v>
      </c>
      <c r="I95" s="42" t="s">
        <v>641</v>
      </c>
      <c r="J95" s="57">
        <v>1.0</v>
      </c>
      <c r="K95" s="57">
        <v>8.5</v>
      </c>
      <c r="L95" s="57">
        <v>8.5</v>
      </c>
      <c r="M95" s="57"/>
      <c r="N95" s="42" t="s">
        <v>1591</v>
      </c>
      <c r="O95" s="42" t="s">
        <v>323</v>
      </c>
      <c r="P95" s="43">
        <v>46215.0</v>
      </c>
    </row>
    <row r="96" ht="15.75" customHeight="1">
      <c r="A96" s="42" t="s">
        <v>283</v>
      </c>
      <c r="B96" s="42" t="s">
        <v>314</v>
      </c>
      <c r="C96" s="42" t="s">
        <v>466</v>
      </c>
      <c r="D96" s="42" t="s">
        <v>41</v>
      </c>
      <c r="E96" s="42" t="s">
        <v>628</v>
      </c>
      <c r="F96" s="57">
        <v>38.8</v>
      </c>
      <c r="G96" s="42" t="s">
        <v>468</v>
      </c>
      <c r="H96" s="42" t="s">
        <v>86</v>
      </c>
      <c r="I96" s="42" t="s">
        <v>629</v>
      </c>
      <c r="J96" s="57">
        <v>2.0</v>
      </c>
      <c r="K96" s="57">
        <v>38.8</v>
      </c>
      <c r="L96" s="57">
        <v>60.47</v>
      </c>
      <c r="M96" s="57">
        <v>0.0</v>
      </c>
      <c r="N96" s="42" t="s">
        <v>1584</v>
      </c>
      <c r="O96" s="42" t="s">
        <v>323</v>
      </c>
      <c r="P96" s="43">
        <v>46215.0</v>
      </c>
    </row>
    <row r="97" ht="15.75" customHeight="1">
      <c r="A97" s="42" t="s">
        <v>283</v>
      </c>
      <c r="B97" s="42" t="s">
        <v>314</v>
      </c>
      <c r="C97" s="42" t="s">
        <v>491</v>
      </c>
      <c r="D97" s="42" t="s">
        <v>635</v>
      </c>
      <c r="E97" s="42" t="s">
        <v>545</v>
      </c>
      <c r="F97" s="57">
        <v>49.0</v>
      </c>
      <c r="G97" s="42" t="s">
        <v>468</v>
      </c>
      <c r="H97" s="42" t="s">
        <v>86</v>
      </c>
      <c r="I97" s="42" t="s">
        <v>636</v>
      </c>
      <c r="J97" s="57">
        <v>2.0</v>
      </c>
      <c r="K97" s="57">
        <v>49.0</v>
      </c>
      <c r="L97" s="57">
        <v>61.15</v>
      </c>
      <c r="M97" s="57">
        <v>0.0</v>
      </c>
      <c r="N97" s="42" t="s">
        <v>1584</v>
      </c>
      <c r="O97" s="42" t="s">
        <v>323</v>
      </c>
      <c r="P97" s="43">
        <v>46215.0</v>
      </c>
    </row>
    <row r="98" ht="15.75" customHeight="1">
      <c r="A98" s="42" t="s">
        <v>283</v>
      </c>
      <c r="B98" s="42" t="s">
        <v>314</v>
      </c>
      <c r="C98" s="42" t="s">
        <v>475</v>
      </c>
      <c r="D98" s="42" t="s">
        <v>642</v>
      </c>
      <c r="E98" s="42" t="s">
        <v>643</v>
      </c>
      <c r="F98" s="57">
        <v>53.8</v>
      </c>
      <c r="G98" s="42" t="s">
        <v>468</v>
      </c>
      <c r="H98" s="42" t="s">
        <v>86</v>
      </c>
      <c r="I98" s="42" t="s">
        <v>644</v>
      </c>
      <c r="J98" s="57">
        <v>1.0</v>
      </c>
      <c r="K98" s="57">
        <v>53.8</v>
      </c>
      <c r="L98" s="57">
        <v>53.8</v>
      </c>
      <c r="M98" s="57"/>
      <c r="N98" s="42" t="s">
        <v>1591</v>
      </c>
      <c r="O98" s="42" t="s">
        <v>323</v>
      </c>
      <c r="P98" s="43">
        <v>46215.0</v>
      </c>
    </row>
    <row r="99" ht="15.75" customHeight="1">
      <c r="A99" s="42" t="s">
        <v>283</v>
      </c>
      <c r="B99" s="42" t="s">
        <v>314</v>
      </c>
      <c r="C99" s="42" t="s">
        <v>485</v>
      </c>
      <c r="D99" s="42" t="s">
        <v>637</v>
      </c>
      <c r="E99" s="42" t="s">
        <v>487</v>
      </c>
      <c r="F99" s="57">
        <v>73.0</v>
      </c>
      <c r="G99" s="42" t="s">
        <v>468</v>
      </c>
      <c r="H99" s="42" t="s">
        <v>86</v>
      </c>
      <c r="I99" s="42" t="s">
        <v>638</v>
      </c>
      <c r="J99" s="57">
        <v>2.0</v>
      </c>
      <c r="K99" s="57">
        <v>73.0</v>
      </c>
      <c r="L99" s="57">
        <v>79.23</v>
      </c>
      <c r="M99" s="57">
        <v>0.0</v>
      </c>
      <c r="N99" s="42" t="s">
        <v>1584</v>
      </c>
      <c r="O99" s="42" t="s">
        <v>323</v>
      </c>
      <c r="P99" s="43">
        <v>46215.0</v>
      </c>
    </row>
    <row r="100" ht="15.75" customHeight="1">
      <c r="A100" s="42" t="s">
        <v>283</v>
      </c>
      <c r="B100" s="42" t="s">
        <v>314</v>
      </c>
      <c r="C100" s="42" t="s">
        <v>479</v>
      </c>
      <c r="D100" s="42" t="s">
        <v>620</v>
      </c>
      <c r="E100" s="42" t="s">
        <v>483</v>
      </c>
      <c r="F100" s="57">
        <v>86.3</v>
      </c>
      <c r="G100" s="42" t="s">
        <v>468</v>
      </c>
      <c r="H100" s="42" t="s">
        <v>86</v>
      </c>
      <c r="I100" s="42" t="s">
        <v>639</v>
      </c>
      <c r="J100" s="57">
        <v>2.0</v>
      </c>
      <c r="K100" s="57">
        <v>86.3</v>
      </c>
      <c r="L100" s="57">
        <v>91.75</v>
      </c>
      <c r="M100" s="57">
        <v>0.0</v>
      </c>
      <c r="N100" s="42" t="s">
        <v>1584</v>
      </c>
      <c r="O100" s="42" t="s">
        <v>323</v>
      </c>
      <c r="P100" s="43">
        <v>46215.0</v>
      </c>
    </row>
    <row r="101" ht="15.75" customHeight="1">
      <c r="A101" s="42" t="s">
        <v>283</v>
      </c>
      <c r="B101" s="42" t="s">
        <v>325</v>
      </c>
      <c r="C101" s="42" t="s">
        <v>477</v>
      </c>
      <c r="D101" s="42" t="s">
        <v>44</v>
      </c>
      <c r="E101" s="42" t="s">
        <v>645</v>
      </c>
      <c r="F101" s="57">
        <v>47.4</v>
      </c>
      <c r="G101" s="42" t="s">
        <v>468</v>
      </c>
      <c r="H101" s="42" t="s">
        <v>86</v>
      </c>
      <c r="I101" s="42" t="s">
        <v>44</v>
      </c>
      <c r="J101" s="57">
        <v>1.0</v>
      </c>
      <c r="K101" s="57">
        <v>47.4</v>
      </c>
      <c r="L101" s="57">
        <v>47.4</v>
      </c>
      <c r="M101" s="57"/>
      <c r="N101" s="42" t="s">
        <v>1591</v>
      </c>
      <c r="O101" s="42" t="s">
        <v>337</v>
      </c>
      <c r="P101" s="43">
        <v>46215.0</v>
      </c>
    </row>
    <row r="102" ht="15.75" customHeight="1">
      <c r="A102" s="42" t="s">
        <v>283</v>
      </c>
      <c r="B102" s="42" t="s">
        <v>325</v>
      </c>
      <c r="C102" s="42" t="s">
        <v>646</v>
      </c>
      <c r="D102" s="42" t="s">
        <v>647</v>
      </c>
      <c r="E102" s="42" t="s">
        <v>648</v>
      </c>
      <c r="F102" s="57">
        <v>67.04</v>
      </c>
      <c r="G102" s="42" t="s">
        <v>468</v>
      </c>
      <c r="H102" s="42" t="s">
        <v>86</v>
      </c>
      <c r="I102" s="42" t="s">
        <v>649</v>
      </c>
      <c r="J102" s="57">
        <v>1.0</v>
      </c>
      <c r="K102" s="57">
        <v>67.04</v>
      </c>
      <c r="L102" s="57">
        <v>67.04</v>
      </c>
      <c r="M102" s="57"/>
      <c r="N102" s="42" t="s">
        <v>1591</v>
      </c>
      <c r="O102" s="42" t="s">
        <v>337</v>
      </c>
      <c r="P102" s="43">
        <v>46215.0</v>
      </c>
    </row>
    <row r="103" ht="15.75" customHeight="1">
      <c r="A103" s="42" t="s">
        <v>283</v>
      </c>
      <c r="B103" s="42" t="s">
        <v>325</v>
      </c>
      <c r="C103" s="42" t="s">
        <v>495</v>
      </c>
      <c r="D103" s="42" t="s">
        <v>496</v>
      </c>
      <c r="E103" s="42" t="s">
        <v>383</v>
      </c>
      <c r="F103" s="57">
        <v>63.6</v>
      </c>
      <c r="G103" s="42" t="s">
        <v>468</v>
      </c>
      <c r="H103" s="42" t="s">
        <v>86</v>
      </c>
      <c r="I103" s="42" t="s">
        <v>650</v>
      </c>
      <c r="J103" s="57">
        <v>1.0</v>
      </c>
      <c r="K103" s="57">
        <v>63.6</v>
      </c>
      <c r="L103" s="57">
        <v>63.6</v>
      </c>
      <c r="M103" s="57"/>
      <c r="N103" s="42" t="s">
        <v>1591</v>
      </c>
      <c r="O103" s="42" t="s">
        <v>337</v>
      </c>
      <c r="P103" s="43">
        <v>46215.0</v>
      </c>
    </row>
    <row r="104" ht="15.75" customHeight="1">
      <c r="A104" s="42" t="s">
        <v>283</v>
      </c>
      <c r="B104" s="42" t="s">
        <v>325</v>
      </c>
      <c r="C104" s="42" t="s">
        <v>479</v>
      </c>
      <c r="D104" s="42" t="s">
        <v>651</v>
      </c>
      <c r="E104" s="42" t="s">
        <v>645</v>
      </c>
      <c r="F104" s="57">
        <v>57.5</v>
      </c>
      <c r="G104" s="42" t="s">
        <v>468</v>
      </c>
      <c r="H104" s="42" t="s">
        <v>86</v>
      </c>
      <c r="I104" s="42" t="s">
        <v>651</v>
      </c>
      <c r="J104" s="57">
        <v>1.0</v>
      </c>
      <c r="K104" s="57">
        <v>57.5</v>
      </c>
      <c r="L104" s="57">
        <v>57.5</v>
      </c>
      <c r="M104" s="57"/>
      <c r="N104" s="42" t="s">
        <v>1591</v>
      </c>
      <c r="O104" s="42" t="s">
        <v>337</v>
      </c>
      <c r="P104" s="43">
        <v>46215.0</v>
      </c>
    </row>
    <row r="105" ht="15.75" customHeight="1">
      <c r="A105" s="42" t="s">
        <v>283</v>
      </c>
      <c r="B105" s="42" t="s">
        <v>325</v>
      </c>
      <c r="C105" s="42" t="s">
        <v>495</v>
      </c>
      <c r="D105" s="42" t="s">
        <v>652</v>
      </c>
      <c r="E105" s="42" t="s">
        <v>653</v>
      </c>
      <c r="F105" s="57">
        <v>82.8</v>
      </c>
      <c r="G105" s="42" t="s">
        <v>468</v>
      </c>
      <c r="H105" s="42" t="s">
        <v>86</v>
      </c>
      <c r="I105" s="42" t="s">
        <v>654</v>
      </c>
      <c r="J105" s="57">
        <v>1.0</v>
      </c>
      <c r="K105" s="57">
        <v>82.8</v>
      </c>
      <c r="L105" s="57">
        <v>82.8</v>
      </c>
      <c r="M105" s="57"/>
      <c r="N105" s="42" t="s">
        <v>1591</v>
      </c>
      <c r="O105" s="42" t="s">
        <v>337</v>
      </c>
      <c r="P105" s="43">
        <v>46215.0</v>
      </c>
    </row>
    <row r="106" ht="15.75" customHeight="1">
      <c r="A106" s="42" t="s">
        <v>283</v>
      </c>
      <c r="B106" s="42" t="s">
        <v>325</v>
      </c>
      <c r="C106" s="42" t="s">
        <v>655</v>
      </c>
      <c r="D106" s="42" t="s">
        <v>656</v>
      </c>
      <c r="E106" s="42" t="s">
        <v>645</v>
      </c>
      <c r="F106" s="57">
        <v>72.2</v>
      </c>
      <c r="G106" s="42" t="s">
        <v>468</v>
      </c>
      <c r="H106" s="42" t="s">
        <v>86</v>
      </c>
      <c r="I106" s="42" t="s">
        <v>656</v>
      </c>
      <c r="J106" s="57">
        <v>1.0</v>
      </c>
      <c r="K106" s="57">
        <v>72.2</v>
      </c>
      <c r="L106" s="57">
        <v>72.2</v>
      </c>
      <c r="M106" s="57"/>
      <c r="N106" s="42" t="s">
        <v>1591</v>
      </c>
      <c r="O106" s="42" t="s">
        <v>337</v>
      </c>
      <c r="P106" s="43">
        <v>46215.0</v>
      </c>
    </row>
    <row r="107" ht="15.75" customHeight="1">
      <c r="A107" s="42" t="s">
        <v>283</v>
      </c>
      <c r="B107" s="42" t="s">
        <v>325</v>
      </c>
      <c r="C107" s="42" t="s">
        <v>657</v>
      </c>
      <c r="D107" s="42" t="s">
        <v>658</v>
      </c>
      <c r="E107" s="42" t="s">
        <v>645</v>
      </c>
      <c r="F107" s="57">
        <v>74.52</v>
      </c>
      <c r="G107" s="42" t="s">
        <v>468</v>
      </c>
      <c r="H107" s="42" t="s">
        <v>86</v>
      </c>
      <c r="I107" s="42" t="s">
        <v>658</v>
      </c>
      <c r="J107" s="57">
        <v>1.0</v>
      </c>
      <c r="K107" s="57">
        <v>74.52</v>
      </c>
      <c r="L107" s="57">
        <v>74.52</v>
      </c>
      <c r="M107" s="57"/>
      <c r="N107" s="42" t="s">
        <v>1591</v>
      </c>
      <c r="O107" s="42" t="s">
        <v>337</v>
      </c>
      <c r="P107" s="43">
        <v>46215.0</v>
      </c>
    </row>
    <row r="108" ht="15.75" customHeight="1">
      <c r="A108" s="42" t="s">
        <v>283</v>
      </c>
      <c r="B108" s="42" t="s">
        <v>325</v>
      </c>
      <c r="C108" s="42" t="s">
        <v>659</v>
      </c>
      <c r="D108" s="42" t="s">
        <v>660</v>
      </c>
      <c r="E108" s="42" t="s">
        <v>645</v>
      </c>
      <c r="F108" s="57">
        <v>89.39</v>
      </c>
      <c r="G108" s="42" t="s">
        <v>468</v>
      </c>
      <c r="H108" s="42" t="s">
        <v>86</v>
      </c>
      <c r="I108" s="42" t="s">
        <v>660</v>
      </c>
      <c r="J108" s="57">
        <v>1.0</v>
      </c>
      <c r="K108" s="57">
        <v>89.39</v>
      </c>
      <c r="L108" s="57">
        <v>89.39</v>
      </c>
      <c r="M108" s="57"/>
      <c r="N108" s="42" t="s">
        <v>1591</v>
      </c>
      <c r="O108" s="42" t="s">
        <v>337</v>
      </c>
      <c r="P108" s="43">
        <v>46215.0</v>
      </c>
    </row>
    <row r="109" ht="15.75" customHeight="1">
      <c r="A109" s="42" t="s">
        <v>555</v>
      </c>
      <c r="B109" s="42" t="s">
        <v>661</v>
      </c>
      <c r="C109" s="42" t="s">
        <v>466</v>
      </c>
      <c r="D109" s="42" t="s">
        <v>662</v>
      </c>
      <c r="E109" s="42" t="s">
        <v>663</v>
      </c>
      <c r="F109" s="57">
        <v>71.6</v>
      </c>
      <c r="G109" s="42" t="s">
        <v>468</v>
      </c>
      <c r="H109" s="42" t="s">
        <v>86</v>
      </c>
      <c r="I109" s="42" t="s">
        <v>664</v>
      </c>
      <c r="J109" s="57">
        <v>3.0</v>
      </c>
      <c r="K109" s="57">
        <v>63.0</v>
      </c>
      <c r="L109" s="57">
        <v>71.6</v>
      </c>
      <c r="M109" s="57">
        <v>100.0</v>
      </c>
      <c r="N109" s="42" t="s">
        <v>1584</v>
      </c>
      <c r="O109" s="42" t="s">
        <v>666</v>
      </c>
      <c r="P109" s="43">
        <v>46215.0</v>
      </c>
    </row>
    <row r="110" ht="15.75" customHeight="1">
      <c r="A110" s="42" t="s">
        <v>555</v>
      </c>
      <c r="B110" s="42" t="s">
        <v>661</v>
      </c>
      <c r="C110" s="42" t="s">
        <v>466</v>
      </c>
      <c r="D110" s="42" t="s">
        <v>508</v>
      </c>
      <c r="E110" s="42" t="s">
        <v>668</v>
      </c>
      <c r="F110" s="57">
        <v>64.6</v>
      </c>
      <c r="G110" s="42" t="s">
        <v>468</v>
      </c>
      <c r="H110" s="42" t="s">
        <v>86</v>
      </c>
      <c r="I110" s="42" t="s">
        <v>669</v>
      </c>
      <c r="J110" s="57">
        <v>3.0</v>
      </c>
      <c r="K110" s="57">
        <v>54.8</v>
      </c>
      <c r="L110" s="57">
        <v>64.6</v>
      </c>
      <c r="M110" s="57">
        <v>100.0</v>
      </c>
      <c r="N110" s="42" t="s">
        <v>1584</v>
      </c>
      <c r="O110" s="42" t="s">
        <v>666</v>
      </c>
      <c r="P110" s="43">
        <v>46215.0</v>
      </c>
    </row>
    <row r="111" ht="15.75" customHeight="1">
      <c r="A111" s="42" t="s">
        <v>555</v>
      </c>
      <c r="B111" s="42" t="s">
        <v>661</v>
      </c>
      <c r="C111" s="42" t="s">
        <v>485</v>
      </c>
      <c r="D111" s="42" t="s">
        <v>45</v>
      </c>
      <c r="E111" s="42" t="s">
        <v>671</v>
      </c>
      <c r="F111" s="57">
        <v>71.2</v>
      </c>
      <c r="G111" s="42" t="s">
        <v>468</v>
      </c>
      <c r="H111" s="42" t="s">
        <v>86</v>
      </c>
      <c r="I111" s="42" t="s">
        <v>672</v>
      </c>
      <c r="J111" s="57">
        <v>3.0</v>
      </c>
      <c r="K111" s="57">
        <v>53.4</v>
      </c>
      <c r="L111" s="57">
        <v>71.2</v>
      </c>
      <c r="M111" s="57">
        <v>100.0</v>
      </c>
      <c r="N111" s="42" t="s">
        <v>1584</v>
      </c>
      <c r="O111" s="42" t="s">
        <v>666</v>
      </c>
      <c r="P111" s="43">
        <v>46215.0</v>
      </c>
    </row>
    <row r="112" ht="15.75" customHeight="1">
      <c r="A112" s="42" t="s">
        <v>555</v>
      </c>
      <c r="B112" s="42" t="s">
        <v>661</v>
      </c>
      <c r="C112" s="42" t="s">
        <v>383</v>
      </c>
      <c r="D112" s="42" t="s">
        <v>673</v>
      </c>
      <c r="E112" s="42" t="s">
        <v>671</v>
      </c>
      <c r="F112" s="57">
        <v>85.0</v>
      </c>
      <c r="G112" s="42" t="s">
        <v>468</v>
      </c>
      <c r="H112" s="42" t="s">
        <v>86</v>
      </c>
      <c r="I112" s="42" t="s">
        <v>674</v>
      </c>
      <c r="J112" s="57">
        <v>3.0</v>
      </c>
      <c r="K112" s="57">
        <v>72.1</v>
      </c>
      <c r="L112" s="57">
        <v>85.0</v>
      </c>
      <c r="M112" s="57">
        <v>100.0</v>
      </c>
      <c r="N112" s="42" t="s">
        <v>1584</v>
      </c>
      <c r="O112" s="42" t="s">
        <v>666</v>
      </c>
      <c r="P112" s="43">
        <v>46215.0</v>
      </c>
    </row>
    <row r="113" ht="15.75" customHeight="1">
      <c r="A113" s="42" t="s">
        <v>555</v>
      </c>
      <c r="B113" s="42" t="s">
        <v>661</v>
      </c>
      <c r="C113" s="42" t="s">
        <v>495</v>
      </c>
      <c r="D113" s="42" t="s">
        <v>526</v>
      </c>
      <c r="E113" s="42" t="s">
        <v>675</v>
      </c>
      <c r="F113" s="57">
        <v>59.9</v>
      </c>
      <c r="G113" s="42" t="s">
        <v>468</v>
      </c>
      <c r="H113" s="42" t="s">
        <v>86</v>
      </c>
      <c r="I113" s="42" t="s">
        <v>676</v>
      </c>
      <c r="J113" s="57">
        <v>3.0</v>
      </c>
      <c r="K113" s="57">
        <v>52.4</v>
      </c>
      <c r="L113" s="57">
        <v>59.9</v>
      </c>
      <c r="M113" s="57">
        <v>100.0</v>
      </c>
      <c r="N113" s="42" t="s">
        <v>1584</v>
      </c>
      <c r="O113" s="42" t="s">
        <v>666</v>
      </c>
      <c r="P113" s="43">
        <v>46215.0</v>
      </c>
    </row>
    <row r="114" ht="15.75" customHeight="1">
      <c r="A114" s="42" t="s">
        <v>555</v>
      </c>
      <c r="B114" s="42" t="s">
        <v>661</v>
      </c>
      <c r="C114" s="42" t="s">
        <v>495</v>
      </c>
      <c r="D114" s="42" t="s">
        <v>652</v>
      </c>
      <c r="E114" s="42" t="s">
        <v>677</v>
      </c>
      <c r="F114" s="57">
        <v>43.6</v>
      </c>
      <c r="G114" s="42" t="s">
        <v>468</v>
      </c>
      <c r="H114" s="42" t="s">
        <v>86</v>
      </c>
      <c r="I114" s="42" t="s">
        <v>678</v>
      </c>
      <c r="J114" s="57">
        <v>3.0</v>
      </c>
      <c r="K114" s="57">
        <v>23.3</v>
      </c>
      <c r="L114" s="57">
        <v>43.6</v>
      </c>
      <c r="M114" s="57">
        <v>100.0</v>
      </c>
      <c r="N114" s="42" t="s">
        <v>1584</v>
      </c>
      <c r="O114" s="42" t="s">
        <v>666</v>
      </c>
      <c r="P114" s="43">
        <v>46215.0</v>
      </c>
    </row>
    <row r="115" ht="15.75" customHeight="1">
      <c r="A115" s="42" t="s">
        <v>555</v>
      </c>
      <c r="B115" s="42" t="s">
        <v>661</v>
      </c>
      <c r="C115" s="42" t="s">
        <v>679</v>
      </c>
      <c r="D115" s="42" t="s">
        <v>680</v>
      </c>
      <c r="E115" s="42" t="s">
        <v>681</v>
      </c>
      <c r="F115" s="57">
        <v>55.1</v>
      </c>
      <c r="G115" s="42" t="s">
        <v>468</v>
      </c>
      <c r="H115" s="42" t="s">
        <v>86</v>
      </c>
      <c r="I115" s="42" t="s">
        <v>682</v>
      </c>
      <c r="J115" s="57">
        <v>3.0</v>
      </c>
      <c r="K115" s="57">
        <v>30.5</v>
      </c>
      <c r="L115" s="57">
        <v>55.1</v>
      </c>
      <c r="M115" s="57">
        <v>100.0</v>
      </c>
      <c r="N115" s="42" t="s">
        <v>1584</v>
      </c>
      <c r="O115" s="42" t="s">
        <v>666</v>
      </c>
      <c r="P115" s="43">
        <v>46215.0</v>
      </c>
    </row>
    <row r="116" ht="15.75" customHeight="1">
      <c r="A116" s="42" t="s">
        <v>555</v>
      </c>
      <c r="B116" s="42" t="s">
        <v>661</v>
      </c>
      <c r="C116" s="42" t="s">
        <v>679</v>
      </c>
      <c r="D116" s="42" t="s">
        <v>683</v>
      </c>
      <c r="E116" s="42" t="s">
        <v>681</v>
      </c>
      <c r="F116" s="57">
        <v>68.5</v>
      </c>
      <c r="G116" s="42" t="s">
        <v>468</v>
      </c>
      <c r="H116" s="42" t="s">
        <v>86</v>
      </c>
      <c r="I116" s="42" t="s">
        <v>684</v>
      </c>
      <c r="J116" s="57">
        <v>3.0</v>
      </c>
      <c r="K116" s="57">
        <v>56.8</v>
      </c>
      <c r="L116" s="57">
        <v>68.5</v>
      </c>
      <c r="M116" s="57">
        <v>100.0</v>
      </c>
      <c r="N116" s="42" t="s">
        <v>1584</v>
      </c>
      <c r="O116" s="42" t="s">
        <v>666</v>
      </c>
      <c r="P116" s="43">
        <v>46215.0</v>
      </c>
    </row>
    <row r="117" ht="15.75" customHeight="1">
      <c r="A117" s="42" t="s">
        <v>555</v>
      </c>
      <c r="B117" s="42" t="s">
        <v>661</v>
      </c>
      <c r="C117" s="42" t="s">
        <v>685</v>
      </c>
      <c r="D117" s="42" t="s">
        <v>686</v>
      </c>
      <c r="E117" s="42" t="s">
        <v>681</v>
      </c>
      <c r="F117" s="57">
        <v>84.9</v>
      </c>
      <c r="G117" s="42" t="s">
        <v>468</v>
      </c>
      <c r="H117" s="42" t="s">
        <v>86</v>
      </c>
      <c r="I117" s="42" t="s">
        <v>687</v>
      </c>
      <c r="J117" s="57">
        <v>3.0</v>
      </c>
      <c r="K117" s="57">
        <v>78.3</v>
      </c>
      <c r="L117" s="57">
        <v>84.9</v>
      </c>
      <c r="M117" s="57">
        <v>100.0</v>
      </c>
      <c r="N117" s="42" t="s">
        <v>1584</v>
      </c>
      <c r="O117" s="42" t="s">
        <v>666</v>
      </c>
      <c r="P117" s="43">
        <v>46215.0</v>
      </c>
    </row>
    <row r="118" ht="15.75" customHeight="1">
      <c r="A118" s="42" t="s">
        <v>555</v>
      </c>
      <c r="B118" s="42" t="s">
        <v>688</v>
      </c>
      <c r="C118" s="42" t="s">
        <v>466</v>
      </c>
      <c r="D118" s="42" t="s">
        <v>662</v>
      </c>
      <c r="E118" s="42" t="s">
        <v>663</v>
      </c>
      <c r="F118" s="57">
        <v>70.0</v>
      </c>
      <c r="G118" s="42" t="s">
        <v>468</v>
      </c>
      <c r="H118" s="42" t="s">
        <v>86</v>
      </c>
      <c r="I118" s="42" t="s">
        <v>664</v>
      </c>
      <c r="J118" s="57">
        <v>3.0</v>
      </c>
      <c r="K118" s="57">
        <v>63.0</v>
      </c>
      <c r="L118" s="57">
        <v>71.6</v>
      </c>
      <c r="M118" s="57">
        <v>81.4</v>
      </c>
      <c r="N118" s="42" t="s">
        <v>1584</v>
      </c>
      <c r="O118" s="42" t="s">
        <v>666</v>
      </c>
      <c r="P118" s="43">
        <v>46215.0</v>
      </c>
    </row>
    <row r="119" ht="15.75" customHeight="1">
      <c r="A119" s="42" t="s">
        <v>555</v>
      </c>
      <c r="B119" s="42" t="s">
        <v>688</v>
      </c>
      <c r="C119" s="42" t="s">
        <v>466</v>
      </c>
      <c r="D119" s="42" t="s">
        <v>508</v>
      </c>
      <c r="E119" s="42" t="s">
        <v>668</v>
      </c>
      <c r="F119" s="57">
        <v>61.6</v>
      </c>
      <c r="G119" s="42" t="s">
        <v>468</v>
      </c>
      <c r="H119" s="42" t="s">
        <v>86</v>
      </c>
      <c r="I119" s="42" t="s">
        <v>669</v>
      </c>
      <c r="J119" s="57">
        <v>3.0</v>
      </c>
      <c r="K119" s="57">
        <v>54.8</v>
      </c>
      <c r="L119" s="57">
        <v>64.6</v>
      </c>
      <c r="M119" s="57">
        <v>69.39</v>
      </c>
      <c r="N119" s="42" t="s">
        <v>1584</v>
      </c>
      <c r="O119" s="42" t="s">
        <v>666</v>
      </c>
      <c r="P119" s="43">
        <v>46215.0</v>
      </c>
    </row>
    <row r="120" ht="15.75" customHeight="1">
      <c r="A120" s="42" t="s">
        <v>555</v>
      </c>
      <c r="B120" s="42" t="s">
        <v>688</v>
      </c>
      <c r="C120" s="42" t="s">
        <v>485</v>
      </c>
      <c r="D120" s="42" t="s">
        <v>45</v>
      </c>
      <c r="E120" s="42" t="s">
        <v>671</v>
      </c>
      <c r="F120" s="57">
        <v>66.8</v>
      </c>
      <c r="G120" s="42" t="s">
        <v>468</v>
      </c>
      <c r="H120" s="42" t="s">
        <v>86</v>
      </c>
      <c r="I120" s="42" t="s">
        <v>672</v>
      </c>
      <c r="J120" s="57">
        <v>3.0</v>
      </c>
      <c r="K120" s="57">
        <v>53.4</v>
      </c>
      <c r="L120" s="57">
        <v>71.2</v>
      </c>
      <c r="M120" s="57">
        <v>75.28</v>
      </c>
      <c r="N120" s="42" t="s">
        <v>1584</v>
      </c>
      <c r="O120" s="42" t="s">
        <v>666</v>
      </c>
      <c r="P120" s="43">
        <v>46215.0</v>
      </c>
    </row>
    <row r="121" ht="15.75" customHeight="1">
      <c r="A121" s="42" t="s">
        <v>555</v>
      </c>
      <c r="B121" s="42" t="s">
        <v>688</v>
      </c>
      <c r="C121" s="42" t="s">
        <v>383</v>
      </c>
      <c r="D121" s="42" t="s">
        <v>673</v>
      </c>
      <c r="E121" s="42" t="s">
        <v>671</v>
      </c>
      <c r="F121" s="57">
        <v>78.7</v>
      </c>
      <c r="G121" s="42" t="s">
        <v>468</v>
      </c>
      <c r="H121" s="42" t="s">
        <v>86</v>
      </c>
      <c r="I121" s="42" t="s">
        <v>674</v>
      </c>
      <c r="J121" s="57">
        <v>3.0</v>
      </c>
      <c r="K121" s="57">
        <v>72.1</v>
      </c>
      <c r="L121" s="57">
        <v>85.0</v>
      </c>
      <c r="M121" s="57">
        <v>51.16</v>
      </c>
      <c r="N121" s="42" t="s">
        <v>1584</v>
      </c>
      <c r="O121" s="42" t="s">
        <v>666</v>
      </c>
      <c r="P121" s="43">
        <v>46215.0</v>
      </c>
    </row>
    <row r="122" ht="15.75" customHeight="1">
      <c r="A122" s="42" t="s">
        <v>555</v>
      </c>
      <c r="B122" s="42" t="s">
        <v>688</v>
      </c>
      <c r="C122" s="42" t="s">
        <v>495</v>
      </c>
      <c r="D122" s="42" t="s">
        <v>526</v>
      </c>
      <c r="E122" s="42" t="s">
        <v>675</v>
      </c>
      <c r="F122" s="57">
        <v>55.1</v>
      </c>
      <c r="G122" s="42" t="s">
        <v>468</v>
      </c>
      <c r="H122" s="42" t="s">
        <v>86</v>
      </c>
      <c r="I122" s="42" t="s">
        <v>676</v>
      </c>
      <c r="J122" s="57">
        <v>3.0</v>
      </c>
      <c r="K122" s="57">
        <v>52.4</v>
      </c>
      <c r="L122" s="57">
        <v>59.9</v>
      </c>
      <c r="M122" s="57">
        <v>36.0</v>
      </c>
      <c r="N122" s="42" t="s">
        <v>1584</v>
      </c>
      <c r="O122" s="42" t="s">
        <v>666</v>
      </c>
      <c r="P122" s="43">
        <v>46215.0</v>
      </c>
    </row>
    <row r="123" ht="15.75" customHeight="1">
      <c r="A123" s="42" t="s">
        <v>555</v>
      </c>
      <c r="B123" s="42" t="s">
        <v>688</v>
      </c>
      <c r="C123" s="42" t="s">
        <v>495</v>
      </c>
      <c r="D123" s="42" t="s">
        <v>652</v>
      </c>
      <c r="E123" s="42" t="s">
        <v>677</v>
      </c>
      <c r="F123" s="57">
        <v>35.7</v>
      </c>
      <c r="G123" s="42" t="s">
        <v>468</v>
      </c>
      <c r="H123" s="42" t="s">
        <v>86</v>
      </c>
      <c r="I123" s="42" t="s">
        <v>678</v>
      </c>
      <c r="J123" s="57">
        <v>3.0</v>
      </c>
      <c r="K123" s="57">
        <v>23.3</v>
      </c>
      <c r="L123" s="57">
        <v>43.6</v>
      </c>
      <c r="M123" s="57">
        <v>61.08</v>
      </c>
      <c r="N123" s="42" t="s">
        <v>1584</v>
      </c>
      <c r="O123" s="42" t="s">
        <v>666</v>
      </c>
      <c r="P123" s="43">
        <v>46215.0</v>
      </c>
    </row>
    <row r="124" ht="15.75" customHeight="1">
      <c r="A124" s="42" t="s">
        <v>555</v>
      </c>
      <c r="B124" s="42" t="s">
        <v>688</v>
      </c>
      <c r="C124" s="42" t="s">
        <v>679</v>
      </c>
      <c r="D124" s="42" t="s">
        <v>680</v>
      </c>
      <c r="E124" s="42" t="s">
        <v>681</v>
      </c>
      <c r="F124" s="57">
        <v>50.9</v>
      </c>
      <c r="G124" s="42" t="s">
        <v>468</v>
      </c>
      <c r="H124" s="42" t="s">
        <v>86</v>
      </c>
      <c r="I124" s="42" t="s">
        <v>682</v>
      </c>
      <c r="J124" s="57">
        <v>3.0</v>
      </c>
      <c r="K124" s="57">
        <v>30.5</v>
      </c>
      <c r="L124" s="57">
        <v>55.1</v>
      </c>
      <c r="M124" s="57">
        <v>82.93</v>
      </c>
      <c r="N124" s="42" t="s">
        <v>1584</v>
      </c>
      <c r="O124" s="42" t="s">
        <v>666</v>
      </c>
      <c r="P124" s="43">
        <v>46215.0</v>
      </c>
    </row>
    <row r="125" ht="15.75" customHeight="1">
      <c r="A125" s="42" t="s">
        <v>555</v>
      </c>
      <c r="B125" s="42" t="s">
        <v>688</v>
      </c>
      <c r="C125" s="42" t="s">
        <v>679</v>
      </c>
      <c r="D125" s="42" t="s">
        <v>683</v>
      </c>
      <c r="E125" s="42" t="s">
        <v>681</v>
      </c>
      <c r="F125" s="57">
        <v>66.8</v>
      </c>
      <c r="G125" s="42" t="s">
        <v>468</v>
      </c>
      <c r="H125" s="42" t="s">
        <v>86</v>
      </c>
      <c r="I125" s="42" t="s">
        <v>684</v>
      </c>
      <c r="J125" s="57">
        <v>3.0</v>
      </c>
      <c r="K125" s="57">
        <v>56.8</v>
      </c>
      <c r="L125" s="57">
        <v>68.5</v>
      </c>
      <c r="M125" s="57">
        <v>85.47</v>
      </c>
      <c r="N125" s="42" t="s">
        <v>1584</v>
      </c>
      <c r="O125" s="42" t="s">
        <v>666</v>
      </c>
      <c r="P125" s="43">
        <v>46215.0</v>
      </c>
    </row>
    <row r="126" ht="15.75" customHeight="1">
      <c r="A126" s="42" t="s">
        <v>555</v>
      </c>
      <c r="B126" s="42" t="s">
        <v>688</v>
      </c>
      <c r="C126" s="42" t="s">
        <v>685</v>
      </c>
      <c r="D126" s="42" t="s">
        <v>686</v>
      </c>
      <c r="E126" s="42" t="s">
        <v>681</v>
      </c>
      <c r="F126" s="57">
        <v>80.8</v>
      </c>
      <c r="G126" s="42" t="s">
        <v>468</v>
      </c>
      <c r="H126" s="42" t="s">
        <v>86</v>
      </c>
      <c r="I126" s="42" t="s">
        <v>687</v>
      </c>
      <c r="J126" s="57">
        <v>3.0</v>
      </c>
      <c r="K126" s="57">
        <v>78.3</v>
      </c>
      <c r="L126" s="57">
        <v>84.9</v>
      </c>
      <c r="M126" s="57">
        <v>37.88</v>
      </c>
      <c r="N126" s="42" t="s">
        <v>1584</v>
      </c>
      <c r="O126" s="42" t="s">
        <v>666</v>
      </c>
      <c r="P126" s="43">
        <v>46215.0</v>
      </c>
    </row>
    <row r="127" ht="15.75" customHeight="1">
      <c r="A127" s="42" t="s">
        <v>555</v>
      </c>
      <c r="B127" s="42" t="s">
        <v>689</v>
      </c>
      <c r="C127" s="42" t="s">
        <v>466</v>
      </c>
      <c r="D127" s="42" t="s">
        <v>662</v>
      </c>
      <c r="E127" s="42" t="s">
        <v>663</v>
      </c>
      <c r="F127" s="57">
        <v>63.0</v>
      </c>
      <c r="G127" s="42" t="s">
        <v>468</v>
      </c>
      <c r="H127" s="42" t="s">
        <v>86</v>
      </c>
      <c r="I127" s="42" t="s">
        <v>664</v>
      </c>
      <c r="J127" s="57">
        <v>3.0</v>
      </c>
      <c r="K127" s="57">
        <v>63.0</v>
      </c>
      <c r="L127" s="57">
        <v>71.6</v>
      </c>
      <c r="M127" s="57">
        <v>0.0</v>
      </c>
      <c r="N127" s="42" t="s">
        <v>1584</v>
      </c>
      <c r="O127" s="42" t="s">
        <v>666</v>
      </c>
      <c r="P127" s="43">
        <v>46215.0</v>
      </c>
    </row>
    <row r="128" ht="15.75" customHeight="1">
      <c r="A128" s="42" t="s">
        <v>555</v>
      </c>
      <c r="B128" s="42" t="s">
        <v>689</v>
      </c>
      <c r="C128" s="42" t="s">
        <v>466</v>
      </c>
      <c r="D128" s="42" t="s">
        <v>508</v>
      </c>
      <c r="E128" s="42" t="s">
        <v>668</v>
      </c>
      <c r="F128" s="57">
        <v>54.8</v>
      </c>
      <c r="G128" s="42" t="s">
        <v>468</v>
      </c>
      <c r="H128" s="42" t="s">
        <v>86</v>
      </c>
      <c r="I128" s="42" t="s">
        <v>669</v>
      </c>
      <c r="J128" s="57">
        <v>3.0</v>
      </c>
      <c r="K128" s="57">
        <v>54.8</v>
      </c>
      <c r="L128" s="57">
        <v>64.6</v>
      </c>
      <c r="M128" s="57">
        <v>0.0</v>
      </c>
      <c r="N128" s="42" t="s">
        <v>1584</v>
      </c>
      <c r="O128" s="42" t="s">
        <v>666</v>
      </c>
      <c r="P128" s="43">
        <v>46215.0</v>
      </c>
    </row>
    <row r="129" ht="15.75" customHeight="1">
      <c r="A129" s="42" t="s">
        <v>555</v>
      </c>
      <c r="B129" s="42" t="s">
        <v>689</v>
      </c>
      <c r="C129" s="42" t="s">
        <v>485</v>
      </c>
      <c r="D129" s="42" t="s">
        <v>45</v>
      </c>
      <c r="E129" s="42" t="s">
        <v>671</v>
      </c>
      <c r="F129" s="57">
        <v>53.4</v>
      </c>
      <c r="G129" s="42" t="s">
        <v>468</v>
      </c>
      <c r="H129" s="42" t="s">
        <v>86</v>
      </c>
      <c r="I129" s="42" t="s">
        <v>672</v>
      </c>
      <c r="J129" s="57">
        <v>3.0</v>
      </c>
      <c r="K129" s="57">
        <v>53.4</v>
      </c>
      <c r="L129" s="57">
        <v>71.2</v>
      </c>
      <c r="M129" s="57">
        <v>0.0</v>
      </c>
      <c r="N129" s="42" t="s">
        <v>1584</v>
      </c>
      <c r="O129" s="42" t="s">
        <v>666</v>
      </c>
      <c r="P129" s="43">
        <v>46215.0</v>
      </c>
    </row>
    <row r="130" ht="15.75" customHeight="1">
      <c r="A130" s="42" t="s">
        <v>555</v>
      </c>
      <c r="B130" s="42" t="s">
        <v>689</v>
      </c>
      <c r="C130" s="42" t="s">
        <v>383</v>
      </c>
      <c r="D130" s="42" t="s">
        <v>673</v>
      </c>
      <c r="E130" s="42" t="s">
        <v>671</v>
      </c>
      <c r="F130" s="57">
        <v>72.1</v>
      </c>
      <c r="G130" s="42" t="s">
        <v>468</v>
      </c>
      <c r="H130" s="42" t="s">
        <v>86</v>
      </c>
      <c r="I130" s="42" t="s">
        <v>674</v>
      </c>
      <c r="J130" s="57">
        <v>3.0</v>
      </c>
      <c r="K130" s="57">
        <v>72.1</v>
      </c>
      <c r="L130" s="57">
        <v>85.0</v>
      </c>
      <c r="M130" s="57">
        <v>0.0</v>
      </c>
      <c r="N130" s="42" t="s">
        <v>1584</v>
      </c>
      <c r="O130" s="42" t="s">
        <v>666</v>
      </c>
      <c r="P130" s="43">
        <v>46215.0</v>
      </c>
    </row>
    <row r="131" ht="15.75" customHeight="1">
      <c r="A131" s="42" t="s">
        <v>555</v>
      </c>
      <c r="B131" s="42" t="s">
        <v>689</v>
      </c>
      <c r="C131" s="42" t="s">
        <v>495</v>
      </c>
      <c r="D131" s="42" t="s">
        <v>526</v>
      </c>
      <c r="E131" s="42" t="s">
        <v>675</v>
      </c>
      <c r="F131" s="57">
        <v>52.4</v>
      </c>
      <c r="G131" s="42" t="s">
        <v>468</v>
      </c>
      <c r="H131" s="42" t="s">
        <v>86</v>
      </c>
      <c r="I131" s="42" t="s">
        <v>676</v>
      </c>
      <c r="J131" s="57">
        <v>3.0</v>
      </c>
      <c r="K131" s="57">
        <v>52.4</v>
      </c>
      <c r="L131" s="57">
        <v>59.9</v>
      </c>
      <c r="M131" s="57">
        <v>0.0</v>
      </c>
      <c r="N131" s="42" t="s">
        <v>1584</v>
      </c>
      <c r="O131" s="42" t="s">
        <v>666</v>
      </c>
      <c r="P131" s="43">
        <v>46215.0</v>
      </c>
    </row>
    <row r="132" ht="15.75" customHeight="1">
      <c r="A132" s="42" t="s">
        <v>555</v>
      </c>
      <c r="B132" s="42" t="s">
        <v>689</v>
      </c>
      <c r="C132" s="42" t="s">
        <v>495</v>
      </c>
      <c r="D132" s="42" t="s">
        <v>652</v>
      </c>
      <c r="E132" s="42" t="s">
        <v>677</v>
      </c>
      <c r="F132" s="57">
        <v>23.3</v>
      </c>
      <c r="G132" s="42" t="s">
        <v>468</v>
      </c>
      <c r="H132" s="42" t="s">
        <v>86</v>
      </c>
      <c r="I132" s="42" t="s">
        <v>678</v>
      </c>
      <c r="J132" s="57">
        <v>3.0</v>
      </c>
      <c r="K132" s="57">
        <v>23.3</v>
      </c>
      <c r="L132" s="57">
        <v>43.6</v>
      </c>
      <c r="M132" s="57">
        <v>0.0</v>
      </c>
      <c r="N132" s="42" t="s">
        <v>1584</v>
      </c>
      <c r="O132" s="42" t="s">
        <v>666</v>
      </c>
      <c r="P132" s="43">
        <v>46215.0</v>
      </c>
    </row>
    <row r="133" ht="15.75" customHeight="1">
      <c r="A133" s="42" t="s">
        <v>555</v>
      </c>
      <c r="B133" s="42" t="s">
        <v>689</v>
      </c>
      <c r="C133" s="42" t="s">
        <v>679</v>
      </c>
      <c r="D133" s="42" t="s">
        <v>680</v>
      </c>
      <c r="E133" s="42" t="s">
        <v>681</v>
      </c>
      <c r="F133" s="57">
        <v>30.5</v>
      </c>
      <c r="G133" s="42" t="s">
        <v>468</v>
      </c>
      <c r="H133" s="42" t="s">
        <v>86</v>
      </c>
      <c r="I133" s="42" t="s">
        <v>682</v>
      </c>
      <c r="J133" s="57">
        <v>3.0</v>
      </c>
      <c r="K133" s="57">
        <v>30.5</v>
      </c>
      <c r="L133" s="57">
        <v>55.1</v>
      </c>
      <c r="M133" s="57">
        <v>0.0</v>
      </c>
      <c r="N133" s="42" t="s">
        <v>1584</v>
      </c>
      <c r="O133" s="42" t="s">
        <v>666</v>
      </c>
      <c r="P133" s="43">
        <v>46215.0</v>
      </c>
    </row>
    <row r="134" ht="15.75" customHeight="1">
      <c r="A134" s="42" t="s">
        <v>555</v>
      </c>
      <c r="B134" s="42" t="s">
        <v>689</v>
      </c>
      <c r="C134" s="42" t="s">
        <v>679</v>
      </c>
      <c r="D134" s="42" t="s">
        <v>683</v>
      </c>
      <c r="E134" s="42" t="s">
        <v>681</v>
      </c>
      <c r="F134" s="57">
        <v>56.8</v>
      </c>
      <c r="G134" s="42" t="s">
        <v>468</v>
      </c>
      <c r="H134" s="42" t="s">
        <v>86</v>
      </c>
      <c r="I134" s="42" t="s">
        <v>684</v>
      </c>
      <c r="J134" s="57">
        <v>3.0</v>
      </c>
      <c r="K134" s="57">
        <v>56.8</v>
      </c>
      <c r="L134" s="57">
        <v>68.5</v>
      </c>
      <c r="M134" s="57">
        <v>0.0</v>
      </c>
      <c r="N134" s="42" t="s">
        <v>1584</v>
      </c>
      <c r="O134" s="42" t="s">
        <v>666</v>
      </c>
      <c r="P134" s="43">
        <v>46215.0</v>
      </c>
    </row>
    <row r="135" ht="15.75" customHeight="1">
      <c r="A135" s="42" t="s">
        <v>555</v>
      </c>
      <c r="B135" s="42" t="s">
        <v>689</v>
      </c>
      <c r="C135" s="42" t="s">
        <v>685</v>
      </c>
      <c r="D135" s="42" t="s">
        <v>686</v>
      </c>
      <c r="E135" s="42" t="s">
        <v>681</v>
      </c>
      <c r="F135" s="57">
        <v>78.3</v>
      </c>
      <c r="G135" s="42" t="s">
        <v>468</v>
      </c>
      <c r="H135" s="42" t="s">
        <v>86</v>
      </c>
      <c r="I135" s="42" t="s">
        <v>687</v>
      </c>
      <c r="J135" s="57">
        <v>3.0</v>
      </c>
      <c r="K135" s="57">
        <v>78.3</v>
      </c>
      <c r="L135" s="57">
        <v>84.9</v>
      </c>
      <c r="M135" s="57">
        <v>0.0</v>
      </c>
      <c r="N135" s="42" t="s">
        <v>1584</v>
      </c>
      <c r="O135" s="42" t="s">
        <v>666</v>
      </c>
      <c r="P135" s="43">
        <v>46215.0</v>
      </c>
    </row>
    <row r="136" ht="15.75" customHeight="1">
      <c r="A136" s="42" t="s">
        <v>690</v>
      </c>
      <c r="B136" s="42" t="s">
        <v>341</v>
      </c>
      <c r="C136" s="42" t="s">
        <v>466</v>
      </c>
      <c r="D136" s="42" t="s">
        <v>37</v>
      </c>
      <c r="E136" s="42" t="s">
        <v>691</v>
      </c>
      <c r="F136" s="57">
        <v>57.9</v>
      </c>
      <c r="G136" s="42" t="s">
        <v>468</v>
      </c>
      <c r="H136" s="42" t="s">
        <v>86</v>
      </c>
      <c r="I136" s="42" t="s">
        <v>692</v>
      </c>
      <c r="J136" s="57">
        <v>1.0</v>
      </c>
      <c r="K136" s="57">
        <v>57.9</v>
      </c>
      <c r="L136" s="57">
        <v>57.9</v>
      </c>
      <c r="M136" s="57"/>
      <c r="N136" s="42" t="s">
        <v>1591</v>
      </c>
      <c r="O136" s="42" t="s">
        <v>353</v>
      </c>
      <c r="P136" s="43">
        <v>46215.0</v>
      </c>
    </row>
    <row r="137" ht="15.75" customHeight="1">
      <c r="A137" s="42" t="s">
        <v>690</v>
      </c>
      <c r="B137" s="42" t="s">
        <v>341</v>
      </c>
      <c r="C137" s="42" t="s">
        <v>466</v>
      </c>
      <c r="D137" s="42" t="s">
        <v>613</v>
      </c>
      <c r="E137" s="42" t="s">
        <v>691</v>
      </c>
      <c r="F137" s="57">
        <v>75.8</v>
      </c>
      <c r="G137" s="42" t="s">
        <v>468</v>
      </c>
      <c r="H137" s="42" t="s">
        <v>86</v>
      </c>
      <c r="I137" s="42" t="s">
        <v>694</v>
      </c>
      <c r="J137" s="57">
        <v>1.0</v>
      </c>
      <c r="K137" s="57">
        <v>75.8</v>
      </c>
      <c r="L137" s="57">
        <v>75.8</v>
      </c>
      <c r="M137" s="57"/>
      <c r="N137" s="42" t="s">
        <v>1591</v>
      </c>
      <c r="O137" s="42" t="s">
        <v>353</v>
      </c>
      <c r="P137" s="43">
        <v>46215.0</v>
      </c>
    </row>
    <row r="138" ht="15.75" customHeight="1">
      <c r="A138" s="42" t="s">
        <v>690</v>
      </c>
      <c r="B138" s="42" t="s">
        <v>341</v>
      </c>
      <c r="C138" s="42" t="s">
        <v>466</v>
      </c>
      <c r="D138" s="42" t="s">
        <v>41</v>
      </c>
      <c r="E138" s="42" t="s">
        <v>691</v>
      </c>
      <c r="F138" s="57">
        <v>78.0</v>
      </c>
      <c r="G138" s="42" t="s">
        <v>468</v>
      </c>
      <c r="H138" s="42" t="s">
        <v>86</v>
      </c>
      <c r="I138" s="42" t="s">
        <v>695</v>
      </c>
      <c r="J138" s="57">
        <v>1.0</v>
      </c>
      <c r="K138" s="57">
        <v>78.0</v>
      </c>
      <c r="L138" s="57">
        <v>78.0</v>
      </c>
      <c r="M138" s="57"/>
      <c r="N138" s="42" t="s">
        <v>1591</v>
      </c>
      <c r="O138" s="42" t="s">
        <v>353</v>
      </c>
      <c r="P138" s="43">
        <v>46215.0</v>
      </c>
    </row>
    <row r="139" ht="15.75" customHeight="1">
      <c r="A139" s="42" t="s">
        <v>690</v>
      </c>
      <c r="B139" s="42" t="s">
        <v>341</v>
      </c>
      <c r="C139" s="42" t="s">
        <v>472</v>
      </c>
      <c r="D139" s="42" t="s">
        <v>473</v>
      </c>
      <c r="E139" s="42" t="s">
        <v>474</v>
      </c>
      <c r="F139" s="57">
        <v>71.7</v>
      </c>
      <c r="G139" s="42" t="s">
        <v>468</v>
      </c>
      <c r="H139" s="42" t="s">
        <v>86</v>
      </c>
      <c r="I139" s="42" t="s">
        <v>38</v>
      </c>
      <c r="J139" s="57">
        <v>5.0</v>
      </c>
      <c r="K139" s="57">
        <v>58.0</v>
      </c>
      <c r="L139" s="57">
        <v>76.2</v>
      </c>
      <c r="M139" s="57">
        <v>75.27</v>
      </c>
      <c r="N139" s="42" t="s">
        <v>1584</v>
      </c>
      <c r="O139" s="42" t="s">
        <v>353</v>
      </c>
      <c r="P139" s="43">
        <v>46215.0</v>
      </c>
    </row>
    <row r="140" ht="15.75" customHeight="1">
      <c r="A140" s="42" t="s">
        <v>690</v>
      </c>
      <c r="B140" s="42" t="s">
        <v>341</v>
      </c>
      <c r="C140" s="42" t="s">
        <v>466</v>
      </c>
      <c r="D140" s="42" t="s">
        <v>696</v>
      </c>
      <c r="E140" s="42" t="s">
        <v>343</v>
      </c>
      <c r="F140" s="57">
        <v>45.6</v>
      </c>
      <c r="G140" s="42" t="s">
        <v>468</v>
      </c>
      <c r="H140" s="42" t="s">
        <v>86</v>
      </c>
      <c r="I140" s="42" t="s">
        <v>696</v>
      </c>
      <c r="J140" s="57">
        <v>1.0</v>
      </c>
      <c r="K140" s="57">
        <v>45.6</v>
      </c>
      <c r="L140" s="57">
        <v>45.6</v>
      </c>
      <c r="M140" s="57"/>
      <c r="N140" s="42" t="s">
        <v>1591</v>
      </c>
      <c r="O140" s="42" t="s">
        <v>353</v>
      </c>
      <c r="P140" s="43">
        <v>46215.0</v>
      </c>
    </row>
    <row r="141" ht="15.75" customHeight="1">
      <c r="A141" s="42" t="s">
        <v>690</v>
      </c>
      <c r="B141" s="42" t="s">
        <v>341</v>
      </c>
      <c r="C141" s="42" t="s">
        <v>466</v>
      </c>
      <c r="D141" s="42" t="s">
        <v>697</v>
      </c>
      <c r="E141" s="42" t="s">
        <v>343</v>
      </c>
      <c r="F141" s="57">
        <v>28.0</v>
      </c>
      <c r="G141" s="42" t="s">
        <v>468</v>
      </c>
      <c r="H141" s="42" t="s">
        <v>86</v>
      </c>
      <c r="I141" s="42" t="s">
        <v>697</v>
      </c>
      <c r="J141" s="57">
        <v>1.0</v>
      </c>
      <c r="K141" s="57">
        <v>28.0</v>
      </c>
      <c r="L141" s="57">
        <v>28.0</v>
      </c>
      <c r="M141" s="57"/>
      <c r="N141" s="42" t="s">
        <v>1591</v>
      </c>
      <c r="O141" s="42" t="s">
        <v>353</v>
      </c>
      <c r="P141" s="43">
        <v>46215.0</v>
      </c>
    </row>
    <row r="142" ht="15.75" customHeight="1">
      <c r="A142" s="42" t="s">
        <v>690</v>
      </c>
      <c r="B142" s="42" t="s">
        <v>341</v>
      </c>
      <c r="C142" s="42" t="s">
        <v>698</v>
      </c>
      <c r="D142" s="42" t="s">
        <v>699</v>
      </c>
      <c r="E142" s="42" t="s">
        <v>343</v>
      </c>
      <c r="F142" s="57">
        <v>84.2</v>
      </c>
      <c r="G142" s="42" t="s">
        <v>468</v>
      </c>
      <c r="H142" s="42" t="s">
        <v>86</v>
      </c>
      <c r="I142" s="42" t="s">
        <v>699</v>
      </c>
      <c r="J142" s="57">
        <v>2.0</v>
      </c>
      <c r="K142" s="57">
        <v>75.8</v>
      </c>
      <c r="L142" s="57">
        <v>84.2</v>
      </c>
      <c r="M142" s="57">
        <v>100.0</v>
      </c>
      <c r="N142" s="42" t="s">
        <v>1584</v>
      </c>
      <c r="O142" s="42" t="s">
        <v>353</v>
      </c>
      <c r="P142" s="43">
        <v>46215.0</v>
      </c>
    </row>
    <row r="143" ht="15.75" customHeight="1">
      <c r="A143" s="42" t="s">
        <v>690</v>
      </c>
      <c r="B143" s="42" t="s">
        <v>341</v>
      </c>
      <c r="C143" s="42" t="s">
        <v>475</v>
      </c>
      <c r="D143" s="42" t="s">
        <v>43</v>
      </c>
      <c r="E143" s="42" t="s">
        <v>490</v>
      </c>
      <c r="F143" s="57">
        <v>79.1</v>
      </c>
      <c r="G143" s="42" t="s">
        <v>468</v>
      </c>
      <c r="H143" s="42" t="s">
        <v>86</v>
      </c>
      <c r="I143" s="42" t="s">
        <v>700</v>
      </c>
      <c r="J143" s="57">
        <v>1.0</v>
      </c>
      <c r="K143" s="57">
        <v>79.1</v>
      </c>
      <c r="L143" s="57">
        <v>79.1</v>
      </c>
      <c r="M143" s="57"/>
      <c r="N143" s="42" t="s">
        <v>1591</v>
      </c>
      <c r="O143" s="42" t="s">
        <v>353</v>
      </c>
      <c r="P143" s="43">
        <v>46215.0</v>
      </c>
    </row>
    <row r="144" ht="15.75" customHeight="1">
      <c r="A144" s="42" t="s">
        <v>690</v>
      </c>
      <c r="B144" s="42" t="s">
        <v>341</v>
      </c>
      <c r="C144" s="42" t="s">
        <v>475</v>
      </c>
      <c r="D144" s="42" t="s">
        <v>42</v>
      </c>
      <c r="E144" s="42" t="s">
        <v>343</v>
      </c>
      <c r="F144" s="57">
        <v>48.5</v>
      </c>
      <c r="G144" s="42" t="s">
        <v>468</v>
      </c>
      <c r="H144" s="42" t="s">
        <v>86</v>
      </c>
      <c r="I144" s="42" t="s">
        <v>42</v>
      </c>
      <c r="J144" s="57">
        <v>3.0</v>
      </c>
      <c r="K144" s="57">
        <v>48.5</v>
      </c>
      <c r="L144" s="57">
        <v>56.5</v>
      </c>
      <c r="M144" s="57">
        <v>0.0</v>
      </c>
      <c r="N144" s="42" t="s">
        <v>1584</v>
      </c>
      <c r="O144" s="42" t="s">
        <v>353</v>
      </c>
      <c r="P144" s="43">
        <v>46215.0</v>
      </c>
    </row>
    <row r="145" ht="15.75" customHeight="1">
      <c r="A145" s="42" t="s">
        <v>690</v>
      </c>
      <c r="B145" s="42" t="s">
        <v>341</v>
      </c>
      <c r="C145" s="42" t="s">
        <v>491</v>
      </c>
      <c r="D145" s="42" t="s">
        <v>701</v>
      </c>
      <c r="E145" s="42" t="s">
        <v>702</v>
      </c>
      <c r="F145" s="57">
        <v>68.5</v>
      </c>
      <c r="G145" s="42" t="s">
        <v>468</v>
      </c>
      <c r="H145" s="42" t="s">
        <v>86</v>
      </c>
      <c r="I145" s="42" t="s">
        <v>703</v>
      </c>
      <c r="J145" s="57">
        <v>1.0</v>
      </c>
      <c r="K145" s="57">
        <v>68.5</v>
      </c>
      <c r="L145" s="57">
        <v>68.5</v>
      </c>
      <c r="M145" s="57"/>
      <c r="N145" s="42" t="s">
        <v>1591</v>
      </c>
      <c r="O145" s="42" t="s">
        <v>353</v>
      </c>
      <c r="P145" s="43">
        <v>46215.0</v>
      </c>
    </row>
    <row r="146" ht="15.75" customHeight="1">
      <c r="A146" s="42" t="s">
        <v>690</v>
      </c>
      <c r="B146" s="42" t="s">
        <v>341</v>
      </c>
      <c r="C146" s="42" t="s">
        <v>491</v>
      </c>
      <c r="D146" s="42" t="s">
        <v>704</v>
      </c>
      <c r="E146" s="42" t="s">
        <v>705</v>
      </c>
      <c r="F146" s="57">
        <v>55.3</v>
      </c>
      <c r="G146" s="42" t="s">
        <v>468</v>
      </c>
      <c r="H146" s="42" t="s">
        <v>86</v>
      </c>
      <c r="I146" s="42" t="s">
        <v>706</v>
      </c>
      <c r="J146" s="57">
        <v>1.0</v>
      </c>
      <c r="K146" s="57">
        <v>55.3</v>
      </c>
      <c r="L146" s="57">
        <v>55.3</v>
      </c>
      <c r="M146" s="57"/>
      <c r="N146" s="42" t="s">
        <v>1591</v>
      </c>
      <c r="O146" s="42" t="s">
        <v>353</v>
      </c>
      <c r="P146" s="43">
        <v>46215.0</v>
      </c>
    </row>
    <row r="147" ht="15.75" customHeight="1">
      <c r="A147" s="42" t="s">
        <v>690</v>
      </c>
      <c r="B147" s="42" t="s">
        <v>341</v>
      </c>
      <c r="C147" s="42" t="s">
        <v>707</v>
      </c>
      <c r="D147" s="42" t="s">
        <v>486</v>
      </c>
      <c r="E147" s="42" t="s">
        <v>708</v>
      </c>
      <c r="F147" s="57">
        <v>53.2</v>
      </c>
      <c r="G147" s="42" t="s">
        <v>468</v>
      </c>
      <c r="H147" s="42" t="s">
        <v>86</v>
      </c>
      <c r="I147" s="42" t="s">
        <v>709</v>
      </c>
      <c r="J147" s="57">
        <v>1.0</v>
      </c>
      <c r="K147" s="57">
        <v>53.2</v>
      </c>
      <c r="L147" s="57">
        <v>53.2</v>
      </c>
      <c r="M147" s="57"/>
      <c r="N147" s="42" t="s">
        <v>1591</v>
      </c>
      <c r="O147" s="42" t="s">
        <v>353</v>
      </c>
      <c r="P147" s="43">
        <v>46215.0</v>
      </c>
    </row>
    <row r="148" ht="15.75" customHeight="1">
      <c r="A148" s="42" t="s">
        <v>690</v>
      </c>
      <c r="B148" s="42" t="s">
        <v>341</v>
      </c>
      <c r="C148" s="42" t="s">
        <v>485</v>
      </c>
      <c r="D148" s="42" t="s">
        <v>45</v>
      </c>
      <c r="E148" s="42" t="s">
        <v>343</v>
      </c>
      <c r="F148" s="57">
        <v>90.4</v>
      </c>
      <c r="G148" s="42" t="s">
        <v>468</v>
      </c>
      <c r="H148" s="42" t="s">
        <v>86</v>
      </c>
      <c r="I148" s="42" t="s">
        <v>45</v>
      </c>
      <c r="J148" s="57">
        <v>3.0</v>
      </c>
      <c r="K148" s="57">
        <v>84.3</v>
      </c>
      <c r="L148" s="57">
        <v>90.4</v>
      </c>
      <c r="M148" s="57">
        <v>100.0</v>
      </c>
      <c r="N148" s="42" t="s">
        <v>1584</v>
      </c>
      <c r="O148" s="42" t="s">
        <v>353</v>
      </c>
      <c r="P148" s="43">
        <v>46215.0</v>
      </c>
    </row>
    <row r="149" ht="15.75" customHeight="1">
      <c r="A149" s="42" t="s">
        <v>690</v>
      </c>
      <c r="B149" s="42" t="s">
        <v>341</v>
      </c>
      <c r="C149" s="42" t="s">
        <v>383</v>
      </c>
      <c r="D149" s="42" t="s">
        <v>710</v>
      </c>
      <c r="E149" s="42" t="s">
        <v>343</v>
      </c>
      <c r="F149" s="57">
        <v>74.8</v>
      </c>
      <c r="G149" s="42" t="s">
        <v>468</v>
      </c>
      <c r="H149" s="42" t="s">
        <v>86</v>
      </c>
      <c r="I149" s="42" t="s">
        <v>710</v>
      </c>
      <c r="J149" s="57">
        <v>1.0</v>
      </c>
      <c r="K149" s="57">
        <v>74.8</v>
      </c>
      <c r="L149" s="57">
        <v>74.8</v>
      </c>
      <c r="M149" s="57"/>
      <c r="N149" s="42" t="s">
        <v>1591</v>
      </c>
      <c r="O149" s="42" t="s">
        <v>353</v>
      </c>
      <c r="P149" s="43">
        <v>46215.0</v>
      </c>
    </row>
    <row r="150" ht="15.75" customHeight="1">
      <c r="A150" s="42" t="s">
        <v>690</v>
      </c>
      <c r="B150" s="42" t="s">
        <v>341</v>
      </c>
      <c r="C150" s="42" t="s">
        <v>383</v>
      </c>
      <c r="D150" s="42" t="s">
        <v>711</v>
      </c>
      <c r="E150" s="42" t="s">
        <v>343</v>
      </c>
      <c r="F150" s="57">
        <v>38.7</v>
      </c>
      <c r="G150" s="42" t="s">
        <v>468</v>
      </c>
      <c r="H150" s="42" t="s">
        <v>86</v>
      </c>
      <c r="I150" s="42" t="s">
        <v>711</v>
      </c>
      <c r="J150" s="57">
        <v>1.0</v>
      </c>
      <c r="K150" s="57">
        <v>38.7</v>
      </c>
      <c r="L150" s="57">
        <v>38.7</v>
      </c>
      <c r="M150" s="57"/>
      <c r="N150" s="42" t="s">
        <v>1591</v>
      </c>
      <c r="O150" s="42" t="s">
        <v>353</v>
      </c>
      <c r="P150" s="43">
        <v>46215.0</v>
      </c>
    </row>
    <row r="151" ht="15.75" customHeight="1">
      <c r="A151" s="42" t="s">
        <v>690</v>
      </c>
      <c r="B151" s="42" t="s">
        <v>341</v>
      </c>
      <c r="C151" s="42" t="s">
        <v>479</v>
      </c>
      <c r="D151" s="42" t="s">
        <v>712</v>
      </c>
      <c r="E151" s="42" t="s">
        <v>343</v>
      </c>
      <c r="F151" s="57">
        <v>73.4</v>
      </c>
      <c r="G151" s="42" t="s">
        <v>468</v>
      </c>
      <c r="H151" s="42" t="s">
        <v>86</v>
      </c>
      <c r="I151" s="42" t="s">
        <v>712</v>
      </c>
      <c r="J151" s="57">
        <v>2.0</v>
      </c>
      <c r="K151" s="57">
        <v>63.9</v>
      </c>
      <c r="L151" s="57">
        <v>73.4</v>
      </c>
      <c r="M151" s="57">
        <v>100.0</v>
      </c>
      <c r="N151" s="42" t="s">
        <v>1584</v>
      </c>
      <c r="O151" s="42" t="s">
        <v>353</v>
      </c>
      <c r="P151" s="43">
        <v>46215.0</v>
      </c>
    </row>
    <row r="152" ht="15.75" customHeight="1">
      <c r="A152" s="42" t="s">
        <v>714</v>
      </c>
      <c r="B152" s="42" t="s">
        <v>357</v>
      </c>
      <c r="C152" s="42" t="s">
        <v>466</v>
      </c>
      <c r="D152" s="42" t="s">
        <v>37</v>
      </c>
      <c r="E152" s="42" t="s">
        <v>557</v>
      </c>
      <c r="F152" s="57">
        <v>56.3</v>
      </c>
      <c r="G152" s="42" t="s">
        <v>468</v>
      </c>
      <c r="H152" s="42" t="s">
        <v>86</v>
      </c>
      <c r="I152" s="42" t="s">
        <v>37</v>
      </c>
      <c r="J152" s="57">
        <v>1.0</v>
      </c>
      <c r="K152" s="57">
        <v>56.3</v>
      </c>
      <c r="L152" s="57">
        <v>56.3</v>
      </c>
      <c r="M152" s="57"/>
      <c r="N152" s="42" t="s">
        <v>1591</v>
      </c>
      <c r="O152" s="42" t="s">
        <v>370</v>
      </c>
      <c r="P152" s="43">
        <v>46215.0</v>
      </c>
    </row>
    <row r="153" ht="15.75" customHeight="1">
      <c r="A153" s="42" t="s">
        <v>714</v>
      </c>
      <c r="B153" s="42" t="s">
        <v>357</v>
      </c>
      <c r="C153" s="42" t="s">
        <v>466</v>
      </c>
      <c r="D153" s="42" t="s">
        <v>613</v>
      </c>
      <c r="E153" s="42" t="s">
        <v>557</v>
      </c>
      <c r="F153" s="57">
        <v>72.4</v>
      </c>
      <c r="G153" s="42" t="s">
        <v>468</v>
      </c>
      <c r="H153" s="42" t="s">
        <v>86</v>
      </c>
      <c r="I153" s="42" t="s">
        <v>613</v>
      </c>
      <c r="J153" s="57">
        <v>1.0</v>
      </c>
      <c r="K153" s="57">
        <v>72.4</v>
      </c>
      <c r="L153" s="57">
        <v>72.4</v>
      </c>
      <c r="M153" s="57"/>
      <c r="N153" s="42" t="s">
        <v>1591</v>
      </c>
      <c r="O153" s="42" t="s">
        <v>370</v>
      </c>
      <c r="P153" s="43">
        <v>46215.0</v>
      </c>
    </row>
    <row r="154" ht="15.75" customHeight="1">
      <c r="A154" s="42" t="s">
        <v>714</v>
      </c>
      <c r="B154" s="42" t="s">
        <v>357</v>
      </c>
      <c r="C154" s="42" t="s">
        <v>466</v>
      </c>
      <c r="D154" s="42" t="s">
        <v>41</v>
      </c>
      <c r="E154" s="42" t="s">
        <v>557</v>
      </c>
      <c r="F154" s="57">
        <v>76.5</v>
      </c>
      <c r="G154" s="42" t="s">
        <v>468</v>
      </c>
      <c r="H154" s="42" t="s">
        <v>86</v>
      </c>
      <c r="I154" s="42" t="s">
        <v>41</v>
      </c>
      <c r="J154" s="57">
        <v>1.0</v>
      </c>
      <c r="K154" s="57">
        <v>76.5</v>
      </c>
      <c r="L154" s="57">
        <v>76.5</v>
      </c>
      <c r="M154" s="57"/>
      <c r="N154" s="42" t="s">
        <v>1591</v>
      </c>
      <c r="O154" s="42" t="s">
        <v>370</v>
      </c>
      <c r="P154" s="43">
        <v>46215.0</v>
      </c>
    </row>
    <row r="155" ht="15.75" customHeight="1">
      <c r="A155" s="42" t="s">
        <v>714</v>
      </c>
      <c r="B155" s="42" t="s">
        <v>357</v>
      </c>
      <c r="C155" s="42" t="s">
        <v>472</v>
      </c>
      <c r="D155" s="42" t="s">
        <v>473</v>
      </c>
      <c r="E155" s="42" t="s">
        <v>474</v>
      </c>
      <c r="F155" s="57">
        <v>59.6</v>
      </c>
      <c r="G155" s="42" t="s">
        <v>468</v>
      </c>
      <c r="H155" s="42" t="s">
        <v>86</v>
      </c>
      <c r="I155" s="42" t="s">
        <v>38</v>
      </c>
      <c r="J155" s="57">
        <v>5.0</v>
      </c>
      <c r="K155" s="57">
        <v>58.0</v>
      </c>
      <c r="L155" s="57">
        <v>76.2</v>
      </c>
      <c r="M155" s="57">
        <v>8.79</v>
      </c>
      <c r="N155" s="42" t="s">
        <v>1584</v>
      </c>
      <c r="O155" s="42" t="s">
        <v>370</v>
      </c>
      <c r="P155" s="43">
        <v>46215.0</v>
      </c>
    </row>
    <row r="156" ht="15.75" customHeight="1">
      <c r="A156" s="42" t="s">
        <v>714</v>
      </c>
      <c r="B156" s="42" t="s">
        <v>357</v>
      </c>
      <c r="C156" s="42" t="s">
        <v>475</v>
      </c>
      <c r="D156" s="42" t="s">
        <v>42</v>
      </c>
      <c r="E156" s="42" t="s">
        <v>717</v>
      </c>
      <c r="F156" s="57">
        <v>49.5</v>
      </c>
      <c r="G156" s="42" t="s">
        <v>468</v>
      </c>
      <c r="H156" s="42" t="s">
        <v>86</v>
      </c>
      <c r="I156" s="42" t="s">
        <v>718</v>
      </c>
      <c r="J156" s="57">
        <v>1.0</v>
      </c>
      <c r="K156" s="57">
        <v>49.5</v>
      </c>
      <c r="L156" s="57">
        <v>49.5</v>
      </c>
      <c r="M156" s="57"/>
      <c r="N156" s="42" t="s">
        <v>1591</v>
      </c>
      <c r="O156" s="42" t="s">
        <v>370</v>
      </c>
      <c r="P156" s="43">
        <v>46215.0</v>
      </c>
    </row>
    <row r="157" ht="15.75" customHeight="1">
      <c r="A157" s="42" t="s">
        <v>714</v>
      </c>
      <c r="B157" s="42" t="s">
        <v>357</v>
      </c>
      <c r="C157" s="42" t="s">
        <v>491</v>
      </c>
      <c r="D157" s="42" t="s">
        <v>701</v>
      </c>
      <c r="E157" s="42" t="s">
        <v>720</v>
      </c>
      <c r="F157" s="57">
        <v>67.1</v>
      </c>
      <c r="G157" s="42" t="s">
        <v>468</v>
      </c>
      <c r="H157" s="42" t="s">
        <v>86</v>
      </c>
      <c r="I157" s="42" t="s">
        <v>721</v>
      </c>
      <c r="J157" s="57">
        <v>1.0</v>
      </c>
      <c r="K157" s="57">
        <v>67.1</v>
      </c>
      <c r="L157" s="57">
        <v>67.1</v>
      </c>
      <c r="M157" s="57"/>
      <c r="N157" s="42" t="s">
        <v>1591</v>
      </c>
      <c r="O157" s="42" t="s">
        <v>370</v>
      </c>
      <c r="P157" s="43">
        <v>46215.0</v>
      </c>
    </row>
    <row r="158" ht="15.75" customHeight="1">
      <c r="A158" s="42" t="s">
        <v>714</v>
      </c>
      <c r="B158" s="42" t="s">
        <v>357</v>
      </c>
      <c r="C158" s="42" t="s">
        <v>707</v>
      </c>
      <c r="D158" s="42" t="s">
        <v>486</v>
      </c>
      <c r="E158" s="42" t="s">
        <v>722</v>
      </c>
      <c r="F158" s="57">
        <v>47.2</v>
      </c>
      <c r="G158" s="42" t="s">
        <v>468</v>
      </c>
      <c r="H158" s="42" t="s">
        <v>86</v>
      </c>
      <c r="I158" s="42" t="s">
        <v>723</v>
      </c>
      <c r="J158" s="57">
        <v>1.0</v>
      </c>
      <c r="K158" s="57">
        <v>47.2</v>
      </c>
      <c r="L158" s="57">
        <v>47.2</v>
      </c>
      <c r="M158" s="57"/>
      <c r="N158" s="42" t="s">
        <v>1591</v>
      </c>
      <c r="O158" s="42" t="s">
        <v>370</v>
      </c>
      <c r="P158" s="43">
        <v>46215.0</v>
      </c>
    </row>
    <row r="159" ht="15.75" customHeight="1">
      <c r="A159" s="42" t="s">
        <v>714</v>
      </c>
      <c r="B159" s="42" t="s">
        <v>357</v>
      </c>
      <c r="C159" s="42" t="s">
        <v>698</v>
      </c>
      <c r="D159" s="42" t="s">
        <v>699</v>
      </c>
      <c r="E159" s="42" t="s">
        <v>557</v>
      </c>
      <c r="F159" s="57">
        <v>75.8</v>
      </c>
      <c r="G159" s="42" t="s">
        <v>468</v>
      </c>
      <c r="H159" s="42" t="s">
        <v>86</v>
      </c>
      <c r="I159" s="42" t="s">
        <v>699</v>
      </c>
      <c r="J159" s="57">
        <v>2.0</v>
      </c>
      <c r="K159" s="57">
        <v>75.8</v>
      </c>
      <c r="L159" s="57">
        <v>84.2</v>
      </c>
      <c r="M159" s="57">
        <v>0.0</v>
      </c>
      <c r="N159" s="42" t="s">
        <v>1584</v>
      </c>
      <c r="O159" s="42" t="s">
        <v>370</v>
      </c>
      <c r="P159" s="43">
        <v>46215.0</v>
      </c>
    </row>
    <row r="160" ht="15.75" customHeight="1">
      <c r="A160" s="42" t="s">
        <v>714</v>
      </c>
      <c r="B160" s="42" t="s">
        <v>357</v>
      </c>
      <c r="C160" s="42" t="s">
        <v>698</v>
      </c>
      <c r="D160" s="42" t="s">
        <v>724</v>
      </c>
      <c r="E160" s="42" t="s">
        <v>725</v>
      </c>
      <c r="F160" s="57">
        <v>92.8</v>
      </c>
      <c r="G160" s="42" t="s">
        <v>468</v>
      </c>
      <c r="H160" s="42" t="s">
        <v>86</v>
      </c>
      <c r="I160" s="42" t="s">
        <v>726</v>
      </c>
      <c r="J160" s="57">
        <v>1.0</v>
      </c>
      <c r="K160" s="57">
        <v>92.8</v>
      </c>
      <c r="L160" s="57">
        <v>92.8</v>
      </c>
      <c r="M160" s="57"/>
      <c r="N160" s="42" t="s">
        <v>1591</v>
      </c>
      <c r="O160" s="42" t="s">
        <v>370</v>
      </c>
      <c r="P160" s="43">
        <v>46215.0</v>
      </c>
    </row>
    <row r="161" ht="15.75" customHeight="1">
      <c r="A161" s="42" t="s">
        <v>714</v>
      </c>
      <c r="B161" s="42" t="s">
        <v>357</v>
      </c>
      <c r="C161" s="42" t="s">
        <v>698</v>
      </c>
      <c r="D161" s="42" t="s">
        <v>724</v>
      </c>
      <c r="E161" s="42" t="s">
        <v>727</v>
      </c>
      <c r="F161" s="57">
        <v>81.7</v>
      </c>
      <c r="G161" s="42" t="s">
        <v>468</v>
      </c>
      <c r="H161" s="42" t="s">
        <v>86</v>
      </c>
      <c r="I161" s="42" t="s">
        <v>728</v>
      </c>
      <c r="J161" s="57">
        <v>1.0</v>
      </c>
      <c r="K161" s="57">
        <v>81.7</v>
      </c>
      <c r="L161" s="57">
        <v>81.7</v>
      </c>
      <c r="M161" s="57"/>
      <c r="N161" s="42" t="s">
        <v>1591</v>
      </c>
      <c r="O161" s="42" t="s">
        <v>370</v>
      </c>
      <c r="P161" s="43">
        <v>46215.0</v>
      </c>
    </row>
    <row r="162" ht="15.75" customHeight="1">
      <c r="A162" s="42" t="s">
        <v>714</v>
      </c>
      <c r="B162" s="42" t="s">
        <v>357</v>
      </c>
      <c r="C162" s="42" t="s">
        <v>729</v>
      </c>
      <c r="D162" s="42" t="s">
        <v>730</v>
      </c>
      <c r="E162" s="42" t="s">
        <v>557</v>
      </c>
      <c r="F162" s="57">
        <v>71.7</v>
      </c>
      <c r="G162" s="42" t="s">
        <v>468</v>
      </c>
      <c r="H162" s="42" t="s">
        <v>86</v>
      </c>
      <c r="I162" s="42" t="s">
        <v>730</v>
      </c>
      <c r="J162" s="57">
        <v>1.0</v>
      </c>
      <c r="K162" s="57">
        <v>71.7</v>
      </c>
      <c r="L162" s="57">
        <v>71.7</v>
      </c>
      <c r="M162" s="57"/>
      <c r="N162" s="42" t="s">
        <v>1591</v>
      </c>
      <c r="O162" s="42" t="s">
        <v>370</v>
      </c>
      <c r="P162" s="43">
        <v>46215.0</v>
      </c>
    </row>
    <row r="163" ht="15.75" customHeight="1">
      <c r="A163" s="42" t="s">
        <v>714</v>
      </c>
      <c r="B163" s="42" t="s">
        <v>357</v>
      </c>
      <c r="C163" s="42" t="s">
        <v>731</v>
      </c>
      <c r="D163" s="42" t="s">
        <v>732</v>
      </c>
      <c r="E163" s="42" t="s">
        <v>733</v>
      </c>
      <c r="F163" s="57">
        <v>45.8</v>
      </c>
      <c r="G163" s="42" t="s">
        <v>468</v>
      </c>
      <c r="H163" s="42" t="s">
        <v>86</v>
      </c>
      <c r="I163" s="42" t="s">
        <v>734</v>
      </c>
      <c r="J163" s="57">
        <v>1.0</v>
      </c>
      <c r="K163" s="57">
        <v>45.8</v>
      </c>
      <c r="L163" s="57">
        <v>45.8</v>
      </c>
      <c r="M163" s="57"/>
      <c r="N163" s="42" t="s">
        <v>1591</v>
      </c>
      <c r="O163" s="42" t="s">
        <v>370</v>
      </c>
      <c r="P163" s="43">
        <v>46215.0</v>
      </c>
    </row>
    <row r="164" ht="15.75" customHeight="1">
      <c r="A164" s="42" t="s">
        <v>714</v>
      </c>
      <c r="B164" s="42" t="s">
        <v>357</v>
      </c>
      <c r="C164" s="42" t="s">
        <v>479</v>
      </c>
      <c r="D164" s="42" t="s">
        <v>712</v>
      </c>
      <c r="E164" s="42" t="s">
        <v>557</v>
      </c>
      <c r="F164" s="57">
        <v>63.9</v>
      </c>
      <c r="G164" s="42" t="s">
        <v>468</v>
      </c>
      <c r="H164" s="42" t="s">
        <v>86</v>
      </c>
      <c r="I164" s="42" t="s">
        <v>712</v>
      </c>
      <c r="J164" s="57">
        <v>2.0</v>
      </c>
      <c r="K164" s="57">
        <v>63.9</v>
      </c>
      <c r="L164" s="57">
        <v>73.4</v>
      </c>
      <c r="M164" s="57">
        <v>0.0</v>
      </c>
      <c r="N164" s="42" t="s">
        <v>1584</v>
      </c>
      <c r="O164" s="42" t="s">
        <v>370</v>
      </c>
      <c r="P164" s="43">
        <v>46215.0</v>
      </c>
    </row>
    <row r="165" ht="15.75" customHeight="1">
      <c r="A165" s="42" t="s">
        <v>714</v>
      </c>
      <c r="B165" s="42" t="s">
        <v>357</v>
      </c>
      <c r="C165" s="42" t="s">
        <v>736</v>
      </c>
      <c r="D165" s="42" t="s">
        <v>737</v>
      </c>
      <c r="E165" s="42" t="s">
        <v>722</v>
      </c>
      <c r="F165" s="57">
        <v>79.16</v>
      </c>
      <c r="G165" s="42" t="s">
        <v>468</v>
      </c>
      <c r="H165" s="42" t="s">
        <v>86</v>
      </c>
      <c r="I165" s="42" t="s">
        <v>738</v>
      </c>
      <c r="J165" s="57">
        <v>1.0</v>
      </c>
      <c r="K165" s="57">
        <v>79.16</v>
      </c>
      <c r="L165" s="57">
        <v>79.16</v>
      </c>
      <c r="M165" s="57"/>
      <c r="N165" s="42" t="s">
        <v>1591</v>
      </c>
      <c r="O165" s="42" t="s">
        <v>370</v>
      </c>
      <c r="P165" s="43">
        <v>46215.0</v>
      </c>
    </row>
    <row r="166" ht="15.75" customHeight="1">
      <c r="A166" s="42" t="s">
        <v>714</v>
      </c>
      <c r="B166" s="42" t="s">
        <v>357</v>
      </c>
      <c r="C166" s="42" t="s">
        <v>736</v>
      </c>
      <c r="D166" s="42" t="s">
        <v>739</v>
      </c>
      <c r="E166" s="42" t="s">
        <v>557</v>
      </c>
      <c r="F166" s="57">
        <v>58.1</v>
      </c>
      <c r="G166" s="42" t="s">
        <v>468</v>
      </c>
      <c r="H166" s="42" t="s">
        <v>86</v>
      </c>
      <c r="I166" s="42" t="s">
        <v>739</v>
      </c>
      <c r="J166" s="57">
        <v>1.0</v>
      </c>
      <c r="K166" s="57">
        <v>58.1</v>
      </c>
      <c r="L166" s="57">
        <v>58.1</v>
      </c>
      <c r="M166" s="57"/>
      <c r="N166" s="42" t="s">
        <v>1591</v>
      </c>
      <c r="O166" s="42" t="s">
        <v>370</v>
      </c>
      <c r="P166" s="43">
        <v>46215.0</v>
      </c>
    </row>
    <row r="167" ht="15.75" customHeight="1">
      <c r="A167" s="42" t="s">
        <v>714</v>
      </c>
      <c r="B167" s="42" t="s">
        <v>357</v>
      </c>
      <c r="C167" s="42" t="s">
        <v>736</v>
      </c>
      <c r="D167" s="42" t="s">
        <v>740</v>
      </c>
      <c r="E167" s="42" t="s">
        <v>557</v>
      </c>
      <c r="F167" s="57">
        <v>58.96</v>
      </c>
      <c r="G167" s="42" t="s">
        <v>468</v>
      </c>
      <c r="H167" s="42" t="s">
        <v>86</v>
      </c>
      <c r="I167" s="42" t="s">
        <v>740</v>
      </c>
      <c r="J167" s="57">
        <v>1.0</v>
      </c>
      <c r="K167" s="57">
        <v>58.96</v>
      </c>
      <c r="L167" s="57">
        <v>58.96</v>
      </c>
      <c r="M167" s="57"/>
      <c r="N167" s="42" t="s">
        <v>1591</v>
      </c>
      <c r="O167" s="42" t="s">
        <v>370</v>
      </c>
      <c r="P167" s="43">
        <v>46215.0</v>
      </c>
    </row>
    <row r="168" ht="15.75" customHeight="1">
      <c r="A168" s="42" t="s">
        <v>714</v>
      </c>
      <c r="B168" s="42" t="s">
        <v>357</v>
      </c>
      <c r="C168" s="42" t="s">
        <v>741</v>
      </c>
      <c r="D168" s="42" t="s">
        <v>742</v>
      </c>
      <c r="E168" s="42" t="s">
        <v>743</v>
      </c>
      <c r="F168" s="57">
        <v>95.29</v>
      </c>
      <c r="G168" s="42" t="s">
        <v>468</v>
      </c>
      <c r="H168" s="42" t="s">
        <v>86</v>
      </c>
      <c r="I168" s="42" t="s">
        <v>744</v>
      </c>
      <c r="J168" s="57">
        <v>1.0</v>
      </c>
      <c r="K168" s="57">
        <v>95.29</v>
      </c>
      <c r="L168" s="57">
        <v>95.29</v>
      </c>
      <c r="M168" s="57"/>
      <c r="N168" s="42" t="s">
        <v>1591</v>
      </c>
      <c r="O168" s="42" t="s">
        <v>370</v>
      </c>
      <c r="P168" s="43">
        <v>46215.0</v>
      </c>
    </row>
    <row r="169" ht="15.75" customHeight="1">
      <c r="A169" s="42" t="s">
        <v>714</v>
      </c>
      <c r="B169" s="42" t="s">
        <v>357</v>
      </c>
      <c r="C169" s="42" t="s">
        <v>736</v>
      </c>
      <c r="D169" s="42" t="s">
        <v>745</v>
      </c>
      <c r="E169" s="42" t="s">
        <v>746</v>
      </c>
      <c r="F169" s="57">
        <v>89.13</v>
      </c>
      <c r="G169" s="42" t="s">
        <v>468</v>
      </c>
      <c r="H169" s="42" t="s">
        <v>86</v>
      </c>
      <c r="I169" s="42" t="s">
        <v>747</v>
      </c>
      <c r="J169" s="57">
        <v>1.0</v>
      </c>
      <c r="K169" s="57">
        <v>89.13</v>
      </c>
      <c r="L169" s="57">
        <v>89.13</v>
      </c>
      <c r="M169" s="57"/>
      <c r="N169" s="42" t="s">
        <v>1591</v>
      </c>
      <c r="O169" s="42" t="s">
        <v>370</v>
      </c>
      <c r="P169" s="43">
        <v>46215.0</v>
      </c>
    </row>
    <row r="170" ht="15.75" customHeight="1">
      <c r="A170" s="42" t="s">
        <v>714</v>
      </c>
      <c r="B170" s="42" t="s">
        <v>357</v>
      </c>
      <c r="C170" s="42" t="s">
        <v>736</v>
      </c>
      <c r="D170" s="42" t="s">
        <v>745</v>
      </c>
      <c r="E170" s="42" t="s">
        <v>748</v>
      </c>
      <c r="F170" s="57">
        <v>86.34</v>
      </c>
      <c r="G170" s="42" t="s">
        <v>468</v>
      </c>
      <c r="H170" s="42" t="s">
        <v>86</v>
      </c>
      <c r="I170" s="42" t="s">
        <v>749</v>
      </c>
      <c r="J170" s="57">
        <v>1.0</v>
      </c>
      <c r="K170" s="57">
        <v>86.34</v>
      </c>
      <c r="L170" s="57">
        <v>86.34</v>
      </c>
      <c r="M170" s="57"/>
      <c r="N170" s="42" t="s">
        <v>1591</v>
      </c>
      <c r="O170" s="42" t="s">
        <v>370</v>
      </c>
      <c r="P170" s="43">
        <v>46215.0</v>
      </c>
    </row>
    <row r="171" ht="15.75" customHeight="1">
      <c r="A171" s="42" t="s">
        <v>714</v>
      </c>
      <c r="B171" s="42" t="s">
        <v>357</v>
      </c>
      <c r="C171" s="42" t="s">
        <v>477</v>
      </c>
      <c r="D171" s="42" t="s">
        <v>750</v>
      </c>
      <c r="E171" s="42" t="s">
        <v>557</v>
      </c>
      <c r="F171" s="57">
        <v>61.87</v>
      </c>
      <c r="G171" s="42" t="s">
        <v>468</v>
      </c>
      <c r="H171" s="42" t="s">
        <v>86</v>
      </c>
      <c r="I171" s="42" t="s">
        <v>750</v>
      </c>
      <c r="J171" s="57">
        <v>1.0</v>
      </c>
      <c r="K171" s="57">
        <v>61.87</v>
      </c>
      <c r="L171" s="57">
        <v>61.87</v>
      </c>
      <c r="M171" s="57"/>
      <c r="N171" s="42" t="s">
        <v>1591</v>
      </c>
      <c r="O171" s="42" t="s">
        <v>370</v>
      </c>
      <c r="P171" s="43">
        <v>46215.0</v>
      </c>
    </row>
    <row r="172" ht="15.75" customHeight="1">
      <c r="A172" s="42" t="s">
        <v>714</v>
      </c>
      <c r="B172" s="42" t="s">
        <v>357</v>
      </c>
      <c r="C172" s="42" t="s">
        <v>751</v>
      </c>
      <c r="D172" s="42" t="s">
        <v>752</v>
      </c>
      <c r="E172" s="42" t="s">
        <v>753</v>
      </c>
      <c r="F172" s="57">
        <v>67.08</v>
      </c>
      <c r="G172" s="42" t="s">
        <v>468</v>
      </c>
      <c r="H172" s="42" t="s">
        <v>86</v>
      </c>
      <c r="I172" s="42" t="s">
        <v>754</v>
      </c>
      <c r="J172" s="57">
        <v>1.0</v>
      </c>
      <c r="K172" s="57">
        <v>67.08</v>
      </c>
      <c r="L172" s="57">
        <v>67.08</v>
      </c>
      <c r="M172" s="57"/>
      <c r="N172" s="42" t="s">
        <v>1591</v>
      </c>
      <c r="O172" s="42" t="s">
        <v>370</v>
      </c>
      <c r="P172" s="43">
        <v>46215.0</v>
      </c>
    </row>
    <row r="173" ht="15.75" customHeight="1">
      <c r="A173" s="42" t="s">
        <v>714</v>
      </c>
      <c r="B173" s="42" t="s">
        <v>357</v>
      </c>
      <c r="C173" s="42" t="s">
        <v>751</v>
      </c>
      <c r="D173" s="42" t="s">
        <v>752</v>
      </c>
      <c r="E173" s="42" t="s">
        <v>756</v>
      </c>
      <c r="F173" s="57">
        <v>67.5</v>
      </c>
      <c r="G173" s="42" t="s">
        <v>468</v>
      </c>
      <c r="H173" s="42" t="s">
        <v>86</v>
      </c>
      <c r="I173" s="42" t="s">
        <v>757</v>
      </c>
      <c r="J173" s="57">
        <v>1.0</v>
      </c>
      <c r="K173" s="57">
        <v>67.5</v>
      </c>
      <c r="L173" s="57">
        <v>67.5</v>
      </c>
      <c r="M173" s="57"/>
      <c r="N173" s="42" t="s">
        <v>1591</v>
      </c>
      <c r="O173" s="42" t="s">
        <v>370</v>
      </c>
      <c r="P173" s="43">
        <v>46215.0</v>
      </c>
    </row>
    <row r="174" ht="15.75" customHeight="1">
      <c r="A174" s="42" t="s">
        <v>714</v>
      </c>
      <c r="B174" s="42" t="s">
        <v>357</v>
      </c>
      <c r="C174" s="42" t="s">
        <v>751</v>
      </c>
      <c r="D174" s="42" t="s">
        <v>752</v>
      </c>
      <c r="E174" s="42" t="s">
        <v>759</v>
      </c>
      <c r="F174" s="57">
        <v>67.0</v>
      </c>
      <c r="G174" s="42" t="s">
        <v>468</v>
      </c>
      <c r="H174" s="42" t="s">
        <v>86</v>
      </c>
      <c r="I174" s="42" t="s">
        <v>760</v>
      </c>
      <c r="J174" s="57">
        <v>1.0</v>
      </c>
      <c r="K174" s="57">
        <v>67.0</v>
      </c>
      <c r="L174" s="57">
        <v>67.0</v>
      </c>
      <c r="M174" s="57"/>
      <c r="N174" s="42" t="s">
        <v>1591</v>
      </c>
      <c r="O174" s="42" t="s">
        <v>370</v>
      </c>
      <c r="P174" s="43">
        <v>46215.0</v>
      </c>
    </row>
    <row r="175" ht="15.75" customHeight="1">
      <c r="A175" s="42" t="s">
        <v>714</v>
      </c>
      <c r="B175" s="42" t="s">
        <v>357</v>
      </c>
      <c r="C175" s="42" t="s">
        <v>751</v>
      </c>
      <c r="D175" s="42" t="s">
        <v>752</v>
      </c>
      <c r="E175" s="42" t="s">
        <v>761</v>
      </c>
      <c r="F175" s="57">
        <v>71.5</v>
      </c>
      <c r="G175" s="42" t="s">
        <v>468</v>
      </c>
      <c r="H175" s="42" t="s">
        <v>86</v>
      </c>
      <c r="I175" s="42" t="s">
        <v>762</v>
      </c>
      <c r="J175" s="57">
        <v>1.0</v>
      </c>
      <c r="K175" s="57">
        <v>71.5</v>
      </c>
      <c r="L175" s="57">
        <v>71.5</v>
      </c>
      <c r="M175" s="57"/>
      <c r="N175" s="42" t="s">
        <v>1591</v>
      </c>
      <c r="O175" s="42" t="s">
        <v>370</v>
      </c>
      <c r="P175" s="43">
        <v>46215.0</v>
      </c>
    </row>
    <row r="176" ht="15.75" customHeight="1">
      <c r="A176" s="42" t="s">
        <v>714</v>
      </c>
      <c r="B176" s="42" t="s">
        <v>357</v>
      </c>
      <c r="C176" s="42" t="s">
        <v>751</v>
      </c>
      <c r="D176" s="42" t="s">
        <v>752</v>
      </c>
      <c r="E176" s="42" t="s">
        <v>763</v>
      </c>
      <c r="F176" s="57">
        <v>67.5</v>
      </c>
      <c r="G176" s="42" t="s">
        <v>468</v>
      </c>
      <c r="H176" s="42" t="s">
        <v>86</v>
      </c>
      <c r="I176" s="42" t="s">
        <v>764</v>
      </c>
      <c r="J176" s="57">
        <v>1.0</v>
      </c>
      <c r="K176" s="57">
        <v>67.5</v>
      </c>
      <c r="L176" s="57">
        <v>67.5</v>
      </c>
      <c r="M176" s="57"/>
      <c r="N176" s="42" t="s">
        <v>1591</v>
      </c>
      <c r="O176" s="42" t="s">
        <v>370</v>
      </c>
      <c r="P176" s="43">
        <v>46215.0</v>
      </c>
    </row>
    <row r="177" ht="15.75" customHeight="1">
      <c r="A177" s="42" t="s">
        <v>714</v>
      </c>
      <c r="B177" s="42" t="s">
        <v>357</v>
      </c>
      <c r="C177" s="42" t="s">
        <v>751</v>
      </c>
      <c r="D177" s="42" t="s">
        <v>752</v>
      </c>
      <c r="E177" s="42" t="s">
        <v>765</v>
      </c>
      <c r="F177" s="57">
        <v>64.5</v>
      </c>
      <c r="G177" s="42" t="s">
        <v>468</v>
      </c>
      <c r="H177" s="42" t="s">
        <v>86</v>
      </c>
      <c r="I177" s="42" t="s">
        <v>766</v>
      </c>
      <c r="J177" s="57">
        <v>1.0</v>
      </c>
      <c r="K177" s="57">
        <v>64.5</v>
      </c>
      <c r="L177" s="57">
        <v>64.5</v>
      </c>
      <c r="M177" s="57"/>
      <c r="N177" s="42" t="s">
        <v>1591</v>
      </c>
      <c r="O177" s="42" t="s">
        <v>370</v>
      </c>
      <c r="P177" s="43">
        <v>46215.0</v>
      </c>
    </row>
    <row r="178" ht="15.75" customHeight="1">
      <c r="A178" s="42" t="s">
        <v>714</v>
      </c>
      <c r="B178" s="42" t="s">
        <v>357</v>
      </c>
      <c r="C178" s="42" t="s">
        <v>751</v>
      </c>
      <c r="D178" s="42" t="s">
        <v>752</v>
      </c>
      <c r="E178" s="42" t="s">
        <v>767</v>
      </c>
      <c r="F178" s="57">
        <v>64.5</v>
      </c>
      <c r="G178" s="42" t="s">
        <v>468</v>
      </c>
      <c r="H178" s="42" t="s">
        <v>86</v>
      </c>
      <c r="I178" s="42" t="s">
        <v>768</v>
      </c>
      <c r="J178" s="57">
        <v>1.0</v>
      </c>
      <c r="K178" s="57">
        <v>64.5</v>
      </c>
      <c r="L178" s="57">
        <v>64.5</v>
      </c>
      <c r="M178" s="57"/>
      <c r="N178" s="42" t="s">
        <v>1591</v>
      </c>
      <c r="O178" s="42" t="s">
        <v>370</v>
      </c>
      <c r="P178" s="43">
        <v>46215.0</v>
      </c>
    </row>
    <row r="179" ht="15.75" customHeight="1">
      <c r="A179" s="42" t="s">
        <v>714</v>
      </c>
      <c r="B179" s="42" t="s">
        <v>357</v>
      </c>
      <c r="C179" s="42" t="s">
        <v>751</v>
      </c>
      <c r="D179" s="42" t="s">
        <v>41</v>
      </c>
      <c r="E179" s="42" t="s">
        <v>769</v>
      </c>
      <c r="F179" s="57">
        <v>73.7</v>
      </c>
      <c r="G179" s="42" t="s">
        <v>468</v>
      </c>
      <c r="H179" s="42" t="s">
        <v>86</v>
      </c>
      <c r="I179" s="42" t="s">
        <v>770</v>
      </c>
      <c r="J179" s="57">
        <v>2.0</v>
      </c>
      <c r="K179" s="57">
        <v>73.7</v>
      </c>
      <c r="L179" s="57">
        <v>76.3</v>
      </c>
      <c r="M179" s="57">
        <v>0.0</v>
      </c>
      <c r="N179" s="42" t="s">
        <v>1584</v>
      </c>
      <c r="O179" s="42" t="s">
        <v>370</v>
      </c>
      <c r="P179" s="43">
        <v>46215.0</v>
      </c>
    </row>
    <row r="180" ht="15.75" customHeight="1">
      <c r="A180" s="42" t="s">
        <v>714</v>
      </c>
      <c r="B180" s="42" t="s">
        <v>357</v>
      </c>
      <c r="C180" s="42" t="s">
        <v>751</v>
      </c>
      <c r="D180" s="42" t="s">
        <v>41</v>
      </c>
      <c r="E180" s="42" t="s">
        <v>772</v>
      </c>
      <c r="F180" s="57">
        <v>76.3</v>
      </c>
      <c r="G180" s="42" t="s">
        <v>468</v>
      </c>
      <c r="H180" s="42" t="s">
        <v>86</v>
      </c>
      <c r="I180" s="42" t="s">
        <v>770</v>
      </c>
      <c r="J180" s="57">
        <v>2.0</v>
      </c>
      <c r="K180" s="57">
        <v>73.7</v>
      </c>
      <c r="L180" s="57">
        <v>76.3</v>
      </c>
      <c r="M180" s="57">
        <v>100.0</v>
      </c>
      <c r="N180" s="42" t="s">
        <v>1584</v>
      </c>
      <c r="O180" s="42" t="s">
        <v>370</v>
      </c>
      <c r="P180" s="43">
        <v>46215.0</v>
      </c>
    </row>
    <row r="181" ht="15.75" customHeight="1">
      <c r="A181" s="42" t="s">
        <v>78</v>
      </c>
      <c r="B181" s="42" t="s">
        <v>80</v>
      </c>
      <c r="C181" s="42" t="s">
        <v>466</v>
      </c>
      <c r="D181" s="42" t="s">
        <v>37</v>
      </c>
      <c r="E181" s="42" t="s">
        <v>774</v>
      </c>
      <c r="F181" s="57">
        <v>64.6</v>
      </c>
      <c r="G181" s="42" t="s">
        <v>468</v>
      </c>
      <c r="H181" s="42" t="s">
        <v>86</v>
      </c>
      <c r="I181" s="42" t="s">
        <v>775</v>
      </c>
      <c r="J181" s="57"/>
      <c r="K181" s="57"/>
      <c r="L181" s="57"/>
      <c r="M181" s="57"/>
      <c r="N181" s="42" t="s">
        <v>1611</v>
      </c>
      <c r="O181" s="42" t="s">
        <v>95</v>
      </c>
      <c r="P181" s="43">
        <v>46213.0</v>
      </c>
    </row>
    <row r="182" ht="15.75" customHeight="1">
      <c r="A182" s="42" t="s">
        <v>78</v>
      </c>
      <c r="B182" s="42" t="s">
        <v>80</v>
      </c>
      <c r="C182" s="42" t="s">
        <v>472</v>
      </c>
      <c r="D182" s="42" t="s">
        <v>473</v>
      </c>
      <c r="E182" s="42" t="s">
        <v>778</v>
      </c>
      <c r="F182" s="57">
        <v>88.8</v>
      </c>
      <c r="G182" s="42" t="s">
        <v>468</v>
      </c>
      <c r="H182" s="42" t="s">
        <v>86</v>
      </c>
      <c r="I182" s="42" t="s">
        <v>775</v>
      </c>
      <c r="J182" s="57"/>
      <c r="K182" s="57"/>
      <c r="L182" s="57"/>
      <c r="M182" s="57"/>
      <c r="N182" s="42" t="s">
        <v>1611</v>
      </c>
      <c r="O182" s="42" t="s">
        <v>95</v>
      </c>
      <c r="P182" s="43">
        <v>46213.0</v>
      </c>
    </row>
    <row r="183" ht="15.75" customHeight="1">
      <c r="A183" s="42" t="s">
        <v>78</v>
      </c>
      <c r="B183" s="42" t="s">
        <v>80</v>
      </c>
      <c r="C183" s="42" t="s">
        <v>466</v>
      </c>
      <c r="D183" s="42" t="s">
        <v>40</v>
      </c>
      <c r="E183" s="42" t="s">
        <v>774</v>
      </c>
      <c r="F183" s="57">
        <v>80.0</v>
      </c>
      <c r="G183" s="42" t="s">
        <v>468</v>
      </c>
      <c r="H183" s="42" t="s">
        <v>86</v>
      </c>
      <c r="I183" s="42" t="s">
        <v>775</v>
      </c>
      <c r="J183" s="57"/>
      <c r="K183" s="57"/>
      <c r="L183" s="57"/>
      <c r="M183" s="57"/>
      <c r="N183" s="42" t="s">
        <v>1611</v>
      </c>
      <c r="O183" s="42" t="s">
        <v>95</v>
      </c>
      <c r="P183" s="43">
        <v>46213.0</v>
      </c>
    </row>
    <row r="184" ht="15.75" customHeight="1">
      <c r="A184" s="42" t="s">
        <v>78</v>
      </c>
      <c r="B184" s="42" t="s">
        <v>80</v>
      </c>
      <c r="C184" s="42" t="s">
        <v>475</v>
      </c>
      <c r="D184" s="42" t="s">
        <v>42</v>
      </c>
      <c r="E184" s="42" t="s">
        <v>774</v>
      </c>
      <c r="F184" s="57">
        <v>58.0</v>
      </c>
      <c r="G184" s="42" t="s">
        <v>468</v>
      </c>
      <c r="H184" s="42" t="s">
        <v>86</v>
      </c>
      <c r="I184" s="42" t="s">
        <v>775</v>
      </c>
      <c r="J184" s="57"/>
      <c r="K184" s="57"/>
      <c r="L184" s="57"/>
      <c r="M184" s="57"/>
      <c r="N184" s="42" t="s">
        <v>1611</v>
      </c>
      <c r="O184" s="42" t="s">
        <v>95</v>
      </c>
      <c r="P184" s="43">
        <v>46213.0</v>
      </c>
    </row>
    <row r="185" ht="15.75" customHeight="1">
      <c r="A185" s="42" t="s">
        <v>78</v>
      </c>
      <c r="B185" s="42" t="s">
        <v>80</v>
      </c>
      <c r="C185" s="42" t="s">
        <v>477</v>
      </c>
      <c r="D185" s="42" t="s">
        <v>44</v>
      </c>
      <c r="E185" s="42" t="s">
        <v>774</v>
      </c>
      <c r="F185" s="57">
        <v>62.6</v>
      </c>
      <c r="G185" s="42" t="s">
        <v>468</v>
      </c>
      <c r="H185" s="42" t="s">
        <v>86</v>
      </c>
      <c r="I185" s="42" t="s">
        <v>775</v>
      </c>
      <c r="J185" s="57"/>
      <c r="K185" s="57"/>
      <c r="L185" s="57"/>
      <c r="M185" s="57"/>
      <c r="N185" s="42" t="s">
        <v>1611</v>
      </c>
      <c r="O185" s="42" t="s">
        <v>95</v>
      </c>
      <c r="P185" s="43">
        <v>46213.0</v>
      </c>
    </row>
    <row r="186" ht="15.75" customHeight="1">
      <c r="A186" s="42" t="s">
        <v>78</v>
      </c>
      <c r="B186" s="42" t="s">
        <v>80</v>
      </c>
      <c r="C186" s="42" t="s">
        <v>485</v>
      </c>
      <c r="D186" s="42" t="s">
        <v>45</v>
      </c>
      <c r="E186" s="42" t="s">
        <v>774</v>
      </c>
      <c r="F186" s="57">
        <v>94.6</v>
      </c>
      <c r="G186" s="42" t="s">
        <v>468</v>
      </c>
      <c r="H186" s="42" t="s">
        <v>86</v>
      </c>
      <c r="I186" s="42" t="s">
        <v>775</v>
      </c>
      <c r="J186" s="57"/>
      <c r="K186" s="57"/>
      <c r="L186" s="57"/>
      <c r="M186" s="57"/>
      <c r="N186" s="42" t="s">
        <v>1611</v>
      </c>
      <c r="O186" s="42" t="s">
        <v>95</v>
      </c>
      <c r="P186" s="43">
        <v>46213.0</v>
      </c>
    </row>
    <row r="187" ht="15.75" customHeight="1">
      <c r="A187" s="42" t="s">
        <v>78</v>
      </c>
      <c r="B187" s="42" t="s">
        <v>80</v>
      </c>
      <c r="C187" s="42" t="s">
        <v>479</v>
      </c>
      <c r="D187" s="42" t="s">
        <v>779</v>
      </c>
      <c r="E187" s="42" t="s">
        <v>780</v>
      </c>
      <c r="F187" s="57">
        <v>73.8</v>
      </c>
      <c r="G187" s="42" t="s">
        <v>468</v>
      </c>
      <c r="H187" s="42" t="s">
        <v>86</v>
      </c>
      <c r="I187" s="42" t="s">
        <v>775</v>
      </c>
      <c r="J187" s="57"/>
      <c r="K187" s="57"/>
      <c r="L187" s="57"/>
      <c r="M187" s="57"/>
      <c r="N187" s="42" t="s">
        <v>1611</v>
      </c>
      <c r="O187" s="42" t="s">
        <v>95</v>
      </c>
      <c r="P187" s="43">
        <v>46213.0</v>
      </c>
    </row>
    <row r="188" ht="15.75" customHeight="1">
      <c r="A188" s="42" t="s">
        <v>78</v>
      </c>
      <c r="B188" s="42" t="s">
        <v>98</v>
      </c>
      <c r="C188" s="42" t="s">
        <v>466</v>
      </c>
      <c r="D188" s="42" t="s">
        <v>37</v>
      </c>
      <c r="E188" s="42" t="s">
        <v>774</v>
      </c>
      <c r="F188" s="57">
        <v>63.4</v>
      </c>
      <c r="G188" s="42" t="s">
        <v>468</v>
      </c>
      <c r="H188" s="42" t="s">
        <v>86</v>
      </c>
      <c r="I188" s="42" t="s">
        <v>775</v>
      </c>
      <c r="J188" s="57"/>
      <c r="K188" s="57"/>
      <c r="L188" s="57"/>
      <c r="M188" s="57"/>
      <c r="N188" s="42" t="s">
        <v>1611</v>
      </c>
      <c r="O188" s="42" t="s">
        <v>95</v>
      </c>
      <c r="P188" s="43">
        <v>46213.0</v>
      </c>
    </row>
    <row r="189" ht="15.75" customHeight="1">
      <c r="A189" s="42" t="s">
        <v>78</v>
      </c>
      <c r="B189" s="42" t="s">
        <v>98</v>
      </c>
      <c r="C189" s="42" t="s">
        <v>472</v>
      </c>
      <c r="D189" s="42" t="s">
        <v>473</v>
      </c>
      <c r="E189" s="42" t="s">
        <v>778</v>
      </c>
      <c r="F189" s="57">
        <v>87.4</v>
      </c>
      <c r="G189" s="42" t="s">
        <v>468</v>
      </c>
      <c r="H189" s="42" t="s">
        <v>86</v>
      </c>
      <c r="I189" s="42" t="s">
        <v>775</v>
      </c>
      <c r="J189" s="57"/>
      <c r="K189" s="57"/>
      <c r="L189" s="57"/>
      <c r="M189" s="57"/>
      <c r="N189" s="42" t="s">
        <v>1611</v>
      </c>
      <c r="O189" s="42" t="s">
        <v>95</v>
      </c>
      <c r="P189" s="43">
        <v>46213.0</v>
      </c>
    </row>
    <row r="190" ht="15.75" customHeight="1">
      <c r="A190" s="42" t="s">
        <v>78</v>
      </c>
      <c r="B190" s="42" t="s">
        <v>98</v>
      </c>
      <c r="C190" s="42" t="s">
        <v>466</v>
      </c>
      <c r="D190" s="42" t="s">
        <v>40</v>
      </c>
      <c r="E190" s="42" t="s">
        <v>774</v>
      </c>
      <c r="F190" s="57">
        <v>77.4</v>
      </c>
      <c r="G190" s="42" t="s">
        <v>468</v>
      </c>
      <c r="H190" s="42" t="s">
        <v>86</v>
      </c>
      <c r="I190" s="42" t="s">
        <v>775</v>
      </c>
      <c r="J190" s="57"/>
      <c r="K190" s="57"/>
      <c r="L190" s="57"/>
      <c r="M190" s="57"/>
      <c r="N190" s="42" t="s">
        <v>1611</v>
      </c>
      <c r="O190" s="42" t="s">
        <v>95</v>
      </c>
      <c r="P190" s="43">
        <v>46213.0</v>
      </c>
    </row>
    <row r="191" ht="15.75" customHeight="1">
      <c r="A191" s="42" t="s">
        <v>78</v>
      </c>
      <c r="B191" s="42" t="s">
        <v>98</v>
      </c>
      <c r="C191" s="42" t="s">
        <v>475</v>
      </c>
      <c r="D191" s="42" t="s">
        <v>42</v>
      </c>
      <c r="E191" s="42" t="s">
        <v>774</v>
      </c>
      <c r="F191" s="57">
        <v>53.1</v>
      </c>
      <c r="G191" s="42" t="s">
        <v>468</v>
      </c>
      <c r="H191" s="42" t="s">
        <v>86</v>
      </c>
      <c r="I191" s="42" t="s">
        <v>775</v>
      </c>
      <c r="J191" s="57"/>
      <c r="K191" s="57"/>
      <c r="L191" s="57"/>
      <c r="M191" s="57"/>
      <c r="N191" s="42" t="s">
        <v>1611</v>
      </c>
      <c r="O191" s="42" t="s">
        <v>95</v>
      </c>
      <c r="P191" s="43">
        <v>46213.0</v>
      </c>
    </row>
    <row r="192" ht="15.75" customHeight="1">
      <c r="A192" s="42" t="s">
        <v>78</v>
      </c>
      <c r="B192" s="42" t="s">
        <v>98</v>
      </c>
      <c r="C192" s="42" t="s">
        <v>477</v>
      </c>
      <c r="D192" s="42" t="s">
        <v>44</v>
      </c>
      <c r="E192" s="42" t="s">
        <v>774</v>
      </c>
      <c r="F192" s="57">
        <v>50.2</v>
      </c>
      <c r="G192" s="42" t="s">
        <v>468</v>
      </c>
      <c r="H192" s="42" t="s">
        <v>86</v>
      </c>
      <c r="I192" s="42" t="s">
        <v>775</v>
      </c>
      <c r="J192" s="57"/>
      <c r="K192" s="57"/>
      <c r="L192" s="57"/>
      <c r="M192" s="57"/>
      <c r="N192" s="42" t="s">
        <v>1611</v>
      </c>
      <c r="O192" s="42" t="s">
        <v>95</v>
      </c>
      <c r="P192" s="43">
        <v>46213.0</v>
      </c>
    </row>
    <row r="193" ht="15.75" customHeight="1">
      <c r="A193" s="42" t="s">
        <v>78</v>
      </c>
      <c r="B193" s="42" t="s">
        <v>98</v>
      </c>
      <c r="C193" s="42" t="s">
        <v>485</v>
      </c>
      <c r="D193" s="42" t="s">
        <v>45</v>
      </c>
      <c r="E193" s="42" t="s">
        <v>774</v>
      </c>
      <c r="F193" s="57">
        <v>92.9</v>
      </c>
      <c r="G193" s="42" t="s">
        <v>468</v>
      </c>
      <c r="H193" s="42" t="s">
        <v>86</v>
      </c>
      <c r="I193" s="42" t="s">
        <v>775</v>
      </c>
      <c r="J193" s="57"/>
      <c r="K193" s="57"/>
      <c r="L193" s="57"/>
      <c r="M193" s="57"/>
      <c r="N193" s="42" t="s">
        <v>1611</v>
      </c>
      <c r="O193" s="42" t="s">
        <v>95</v>
      </c>
      <c r="P193" s="43">
        <v>46213.0</v>
      </c>
    </row>
    <row r="194" ht="15.75" customHeight="1">
      <c r="A194" s="42" t="s">
        <v>78</v>
      </c>
      <c r="B194" s="42" t="s">
        <v>98</v>
      </c>
      <c r="C194" s="42" t="s">
        <v>479</v>
      </c>
      <c r="D194" s="42" t="s">
        <v>779</v>
      </c>
      <c r="E194" s="42" t="s">
        <v>780</v>
      </c>
      <c r="F194" s="57">
        <v>72.5</v>
      </c>
      <c r="G194" s="42" t="s">
        <v>468</v>
      </c>
      <c r="H194" s="42" t="s">
        <v>86</v>
      </c>
      <c r="I194" s="42" t="s">
        <v>775</v>
      </c>
      <c r="J194" s="57"/>
      <c r="K194" s="57"/>
      <c r="L194" s="57"/>
      <c r="M194" s="57"/>
      <c r="N194" s="42" t="s">
        <v>1611</v>
      </c>
      <c r="O194" s="42" t="s">
        <v>95</v>
      </c>
      <c r="P194" s="43">
        <v>46213.0</v>
      </c>
    </row>
    <row r="195" ht="15.75" customHeight="1">
      <c r="A195" s="42" t="s">
        <v>78</v>
      </c>
      <c r="B195" s="42" t="s">
        <v>105</v>
      </c>
      <c r="C195" s="42" t="s">
        <v>466</v>
      </c>
      <c r="D195" s="42" t="s">
        <v>37</v>
      </c>
      <c r="E195" s="42" t="s">
        <v>774</v>
      </c>
      <c r="F195" s="57">
        <v>62.7</v>
      </c>
      <c r="G195" s="42" t="s">
        <v>468</v>
      </c>
      <c r="H195" s="42" t="s">
        <v>86</v>
      </c>
      <c r="I195" s="42" t="s">
        <v>775</v>
      </c>
      <c r="J195" s="57"/>
      <c r="K195" s="57"/>
      <c r="L195" s="57"/>
      <c r="M195" s="57"/>
      <c r="N195" s="42" t="s">
        <v>1611</v>
      </c>
      <c r="O195" s="42" t="s">
        <v>95</v>
      </c>
      <c r="P195" s="43">
        <v>46213.0</v>
      </c>
    </row>
    <row r="196" ht="15.75" customHeight="1">
      <c r="A196" s="42" t="s">
        <v>78</v>
      </c>
      <c r="B196" s="42" t="s">
        <v>105</v>
      </c>
      <c r="C196" s="42" t="s">
        <v>472</v>
      </c>
      <c r="D196" s="42" t="s">
        <v>473</v>
      </c>
      <c r="E196" s="42" t="s">
        <v>778</v>
      </c>
      <c r="F196" s="57">
        <v>84.7</v>
      </c>
      <c r="G196" s="42" t="s">
        <v>468</v>
      </c>
      <c r="H196" s="42" t="s">
        <v>86</v>
      </c>
      <c r="I196" s="42" t="s">
        <v>775</v>
      </c>
      <c r="J196" s="57"/>
      <c r="K196" s="57"/>
      <c r="L196" s="57"/>
      <c r="M196" s="57"/>
      <c r="N196" s="42" t="s">
        <v>1611</v>
      </c>
      <c r="O196" s="42" t="s">
        <v>95</v>
      </c>
      <c r="P196" s="43">
        <v>46213.0</v>
      </c>
    </row>
    <row r="197" ht="15.75" customHeight="1">
      <c r="A197" s="42" t="s">
        <v>78</v>
      </c>
      <c r="B197" s="42" t="s">
        <v>105</v>
      </c>
      <c r="C197" s="42" t="s">
        <v>466</v>
      </c>
      <c r="D197" s="42" t="s">
        <v>40</v>
      </c>
      <c r="E197" s="42" t="s">
        <v>774</v>
      </c>
      <c r="F197" s="57">
        <v>74.6</v>
      </c>
      <c r="G197" s="42" t="s">
        <v>468</v>
      </c>
      <c r="H197" s="42" t="s">
        <v>86</v>
      </c>
      <c r="I197" s="42" t="s">
        <v>775</v>
      </c>
      <c r="J197" s="57"/>
      <c r="K197" s="57"/>
      <c r="L197" s="57"/>
      <c r="M197" s="57"/>
      <c r="N197" s="42" t="s">
        <v>1611</v>
      </c>
      <c r="O197" s="42" t="s">
        <v>95</v>
      </c>
      <c r="P197" s="43">
        <v>46213.0</v>
      </c>
    </row>
    <row r="198" ht="15.75" customHeight="1">
      <c r="A198" s="42" t="s">
        <v>78</v>
      </c>
      <c r="B198" s="42" t="s">
        <v>105</v>
      </c>
      <c r="C198" s="42" t="s">
        <v>475</v>
      </c>
      <c r="D198" s="42" t="s">
        <v>42</v>
      </c>
      <c r="E198" s="42" t="s">
        <v>774</v>
      </c>
      <c r="F198" s="57">
        <v>53.4</v>
      </c>
      <c r="G198" s="42" t="s">
        <v>468</v>
      </c>
      <c r="H198" s="42" t="s">
        <v>86</v>
      </c>
      <c r="I198" s="42" t="s">
        <v>775</v>
      </c>
      <c r="J198" s="57"/>
      <c r="K198" s="57"/>
      <c r="L198" s="57"/>
      <c r="M198" s="57"/>
      <c r="N198" s="42" t="s">
        <v>1611</v>
      </c>
      <c r="O198" s="42" t="s">
        <v>95</v>
      </c>
      <c r="P198" s="43">
        <v>46213.0</v>
      </c>
    </row>
    <row r="199" ht="15.75" customHeight="1">
      <c r="A199" s="42" t="s">
        <v>78</v>
      </c>
      <c r="B199" s="42" t="s">
        <v>105</v>
      </c>
      <c r="C199" s="42" t="s">
        <v>477</v>
      </c>
      <c r="D199" s="42" t="s">
        <v>44</v>
      </c>
      <c r="E199" s="42" t="s">
        <v>774</v>
      </c>
      <c r="F199" s="57">
        <v>45.6</v>
      </c>
      <c r="G199" s="42" t="s">
        <v>468</v>
      </c>
      <c r="H199" s="42" t="s">
        <v>86</v>
      </c>
      <c r="I199" s="42" t="s">
        <v>775</v>
      </c>
      <c r="J199" s="57"/>
      <c r="K199" s="57"/>
      <c r="L199" s="57"/>
      <c r="M199" s="57"/>
      <c r="N199" s="42" t="s">
        <v>1611</v>
      </c>
      <c r="O199" s="42" t="s">
        <v>95</v>
      </c>
      <c r="P199" s="43">
        <v>46213.0</v>
      </c>
    </row>
    <row r="200" ht="15.75" customHeight="1">
      <c r="A200" s="42" t="s">
        <v>78</v>
      </c>
      <c r="B200" s="42" t="s">
        <v>105</v>
      </c>
      <c r="C200" s="42" t="s">
        <v>485</v>
      </c>
      <c r="D200" s="42" t="s">
        <v>45</v>
      </c>
      <c r="E200" s="42" t="s">
        <v>774</v>
      </c>
      <c r="F200" s="57">
        <v>92.3</v>
      </c>
      <c r="G200" s="42" t="s">
        <v>468</v>
      </c>
      <c r="H200" s="42" t="s">
        <v>86</v>
      </c>
      <c r="I200" s="42" t="s">
        <v>775</v>
      </c>
      <c r="J200" s="57"/>
      <c r="K200" s="57"/>
      <c r="L200" s="57"/>
      <c r="M200" s="57"/>
      <c r="N200" s="42" t="s">
        <v>1611</v>
      </c>
      <c r="O200" s="42" t="s">
        <v>95</v>
      </c>
      <c r="P200" s="43">
        <v>46213.0</v>
      </c>
    </row>
    <row r="201" ht="15.75" customHeight="1">
      <c r="A201" s="42" t="s">
        <v>78</v>
      </c>
      <c r="B201" s="42" t="s">
        <v>105</v>
      </c>
      <c r="C201" s="42" t="s">
        <v>479</v>
      </c>
      <c r="D201" s="42" t="s">
        <v>779</v>
      </c>
      <c r="E201" s="42" t="s">
        <v>780</v>
      </c>
      <c r="F201" s="57">
        <v>41.3</v>
      </c>
      <c r="G201" s="42" t="s">
        <v>468</v>
      </c>
      <c r="H201" s="42" t="s">
        <v>86</v>
      </c>
      <c r="I201" s="42" t="s">
        <v>775</v>
      </c>
      <c r="J201" s="57"/>
      <c r="K201" s="57"/>
      <c r="L201" s="57"/>
      <c r="M201" s="57"/>
      <c r="N201" s="42" t="s">
        <v>1611</v>
      </c>
      <c r="O201" s="42" t="s">
        <v>95</v>
      </c>
      <c r="P201" s="43">
        <v>46213.0</v>
      </c>
    </row>
    <row r="202" ht="15.75" customHeight="1">
      <c r="A202" s="42" t="s">
        <v>78</v>
      </c>
      <c r="B202" s="42" t="s">
        <v>781</v>
      </c>
      <c r="C202" s="42" t="s">
        <v>466</v>
      </c>
      <c r="D202" s="42" t="s">
        <v>37</v>
      </c>
      <c r="E202" s="42" t="s">
        <v>774</v>
      </c>
      <c r="F202" s="57">
        <v>59.4</v>
      </c>
      <c r="G202" s="42" t="s">
        <v>468</v>
      </c>
      <c r="H202" s="42" t="s">
        <v>86</v>
      </c>
      <c r="I202" s="42" t="s">
        <v>775</v>
      </c>
      <c r="J202" s="57"/>
      <c r="K202" s="57"/>
      <c r="L202" s="57"/>
      <c r="M202" s="57"/>
      <c r="N202" s="42" t="s">
        <v>1611</v>
      </c>
      <c r="O202" s="42" t="s">
        <v>95</v>
      </c>
      <c r="P202" s="43">
        <v>46213.0</v>
      </c>
    </row>
    <row r="203" ht="15.75" customHeight="1">
      <c r="A203" s="42" t="s">
        <v>78</v>
      </c>
      <c r="B203" s="42" t="s">
        <v>781</v>
      </c>
      <c r="C203" s="42" t="s">
        <v>472</v>
      </c>
      <c r="D203" s="42" t="s">
        <v>473</v>
      </c>
      <c r="E203" s="42" t="s">
        <v>778</v>
      </c>
      <c r="F203" s="57">
        <v>85.6</v>
      </c>
      <c r="G203" s="42" t="s">
        <v>468</v>
      </c>
      <c r="H203" s="42" t="s">
        <v>86</v>
      </c>
      <c r="I203" s="42" t="s">
        <v>775</v>
      </c>
      <c r="J203" s="57"/>
      <c r="K203" s="57"/>
      <c r="L203" s="57"/>
      <c r="M203" s="57"/>
      <c r="N203" s="42" t="s">
        <v>1611</v>
      </c>
      <c r="O203" s="42" t="s">
        <v>95</v>
      </c>
      <c r="P203" s="43">
        <v>46213.0</v>
      </c>
    </row>
    <row r="204" ht="15.75" customHeight="1">
      <c r="A204" s="42" t="s">
        <v>78</v>
      </c>
      <c r="B204" s="42" t="s">
        <v>781</v>
      </c>
      <c r="C204" s="42" t="s">
        <v>472</v>
      </c>
      <c r="D204" s="42" t="s">
        <v>473</v>
      </c>
      <c r="E204" s="42" t="s">
        <v>782</v>
      </c>
      <c r="F204" s="57">
        <v>82.7</v>
      </c>
      <c r="G204" s="42" t="s">
        <v>468</v>
      </c>
      <c r="H204" s="42" t="s">
        <v>86</v>
      </c>
      <c r="I204" s="42" t="s">
        <v>775</v>
      </c>
      <c r="J204" s="57"/>
      <c r="K204" s="57"/>
      <c r="L204" s="57"/>
      <c r="M204" s="57"/>
      <c r="N204" s="42" t="s">
        <v>1611</v>
      </c>
      <c r="O204" s="42" t="s">
        <v>95</v>
      </c>
      <c r="P204" s="43">
        <v>46213.0</v>
      </c>
    </row>
    <row r="205" ht="15.75" customHeight="1">
      <c r="A205" s="42" t="s">
        <v>78</v>
      </c>
      <c r="B205" s="42" t="s">
        <v>781</v>
      </c>
      <c r="C205" s="42" t="s">
        <v>466</v>
      </c>
      <c r="D205" s="42" t="s">
        <v>40</v>
      </c>
      <c r="E205" s="42" t="s">
        <v>774</v>
      </c>
      <c r="F205" s="57">
        <v>76.4</v>
      </c>
      <c r="G205" s="42" t="s">
        <v>468</v>
      </c>
      <c r="H205" s="42" t="s">
        <v>86</v>
      </c>
      <c r="I205" s="42" t="s">
        <v>775</v>
      </c>
      <c r="J205" s="57"/>
      <c r="K205" s="57"/>
      <c r="L205" s="57"/>
      <c r="M205" s="57"/>
      <c r="N205" s="42" t="s">
        <v>1611</v>
      </c>
      <c r="O205" s="42" t="s">
        <v>95</v>
      </c>
      <c r="P205" s="43">
        <v>46213.0</v>
      </c>
    </row>
    <row r="206" ht="15.75" customHeight="1">
      <c r="A206" s="42" t="s">
        <v>78</v>
      </c>
      <c r="B206" s="42" t="s">
        <v>781</v>
      </c>
      <c r="C206" s="42" t="s">
        <v>475</v>
      </c>
      <c r="D206" s="42" t="s">
        <v>42</v>
      </c>
      <c r="E206" s="42" t="s">
        <v>774</v>
      </c>
      <c r="F206" s="57">
        <v>55.6</v>
      </c>
      <c r="G206" s="42" t="s">
        <v>468</v>
      </c>
      <c r="H206" s="42" t="s">
        <v>86</v>
      </c>
      <c r="I206" s="42" t="s">
        <v>775</v>
      </c>
      <c r="J206" s="57"/>
      <c r="K206" s="57"/>
      <c r="L206" s="57"/>
      <c r="M206" s="57"/>
      <c r="N206" s="42" t="s">
        <v>1611</v>
      </c>
      <c r="O206" s="42" t="s">
        <v>95</v>
      </c>
      <c r="P206" s="43">
        <v>46213.0</v>
      </c>
    </row>
    <row r="207" ht="15.75" customHeight="1">
      <c r="A207" s="42" t="s">
        <v>78</v>
      </c>
      <c r="B207" s="42" t="s">
        <v>781</v>
      </c>
      <c r="C207" s="42" t="s">
        <v>477</v>
      </c>
      <c r="D207" s="42" t="s">
        <v>44</v>
      </c>
      <c r="E207" s="42" t="s">
        <v>774</v>
      </c>
      <c r="F207" s="57">
        <v>47.5</v>
      </c>
      <c r="G207" s="42" t="s">
        <v>468</v>
      </c>
      <c r="H207" s="42" t="s">
        <v>86</v>
      </c>
      <c r="I207" s="42" t="s">
        <v>775</v>
      </c>
      <c r="J207" s="57"/>
      <c r="K207" s="57"/>
      <c r="L207" s="57"/>
      <c r="M207" s="57"/>
      <c r="N207" s="42" t="s">
        <v>1611</v>
      </c>
      <c r="O207" s="42" t="s">
        <v>95</v>
      </c>
      <c r="P207" s="43">
        <v>46213.0</v>
      </c>
    </row>
    <row r="208" ht="15.75" customHeight="1">
      <c r="A208" s="42" t="s">
        <v>78</v>
      </c>
      <c r="B208" s="42" t="s">
        <v>781</v>
      </c>
      <c r="C208" s="42" t="s">
        <v>485</v>
      </c>
      <c r="D208" s="42" t="s">
        <v>45</v>
      </c>
      <c r="E208" s="42" t="s">
        <v>774</v>
      </c>
      <c r="F208" s="57">
        <v>93.6</v>
      </c>
      <c r="G208" s="42" t="s">
        <v>468</v>
      </c>
      <c r="H208" s="42" t="s">
        <v>86</v>
      </c>
      <c r="I208" s="42" t="s">
        <v>775</v>
      </c>
      <c r="J208" s="57"/>
      <c r="K208" s="57"/>
      <c r="L208" s="57"/>
      <c r="M208" s="57"/>
      <c r="N208" s="42" t="s">
        <v>1611</v>
      </c>
      <c r="O208" s="42" t="s">
        <v>95</v>
      </c>
      <c r="P208" s="43">
        <v>46213.0</v>
      </c>
    </row>
    <row r="209" ht="15.75" customHeight="1">
      <c r="A209" s="42" t="s">
        <v>78</v>
      </c>
      <c r="B209" s="42" t="s">
        <v>781</v>
      </c>
      <c r="C209" s="42" t="s">
        <v>479</v>
      </c>
      <c r="D209" s="42" t="s">
        <v>779</v>
      </c>
      <c r="E209" s="42" t="s">
        <v>780</v>
      </c>
      <c r="F209" s="57">
        <v>74.0</v>
      </c>
      <c r="G209" s="42" t="s">
        <v>468</v>
      </c>
      <c r="H209" s="42" t="s">
        <v>86</v>
      </c>
      <c r="I209" s="42" t="s">
        <v>775</v>
      </c>
      <c r="J209" s="57"/>
      <c r="K209" s="57"/>
      <c r="L209" s="57"/>
      <c r="M209" s="57"/>
      <c r="N209" s="42" t="s">
        <v>1611</v>
      </c>
      <c r="O209" s="42" t="s">
        <v>95</v>
      </c>
      <c r="P209" s="43">
        <v>46213.0</v>
      </c>
    </row>
    <row r="210" ht="15.75" customHeight="1">
      <c r="A210" s="42" t="s">
        <v>78</v>
      </c>
      <c r="B210" s="42" t="s">
        <v>783</v>
      </c>
      <c r="C210" s="42" t="s">
        <v>466</v>
      </c>
      <c r="D210" s="42" t="s">
        <v>37</v>
      </c>
      <c r="E210" s="42" t="s">
        <v>774</v>
      </c>
      <c r="F210" s="57">
        <v>57.7</v>
      </c>
      <c r="G210" s="42" t="s">
        <v>468</v>
      </c>
      <c r="H210" s="42" t="s">
        <v>86</v>
      </c>
      <c r="I210" s="42" t="s">
        <v>775</v>
      </c>
      <c r="J210" s="57"/>
      <c r="K210" s="57"/>
      <c r="L210" s="57"/>
      <c r="M210" s="57"/>
      <c r="N210" s="42" t="s">
        <v>1611</v>
      </c>
      <c r="O210" s="42" t="s">
        <v>784</v>
      </c>
      <c r="P210" s="43">
        <v>46213.0</v>
      </c>
    </row>
    <row r="211" ht="15.75" customHeight="1">
      <c r="A211" s="42" t="s">
        <v>78</v>
      </c>
      <c r="B211" s="42" t="s">
        <v>783</v>
      </c>
      <c r="C211" s="42" t="s">
        <v>472</v>
      </c>
      <c r="D211" s="42" t="s">
        <v>473</v>
      </c>
      <c r="E211" s="42" t="s">
        <v>782</v>
      </c>
      <c r="F211" s="57">
        <v>75.1</v>
      </c>
      <c r="G211" s="42" t="s">
        <v>468</v>
      </c>
      <c r="H211" s="42" t="s">
        <v>86</v>
      </c>
      <c r="I211" s="42" t="s">
        <v>775</v>
      </c>
      <c r="J211" s="57"/>
      <c r="K211" s="57"/>
      <c r="L211" s="57"/>
      <c r="M211" s="57"/>
      <c r="N211" s="42" t="s">
        <v>1611</v>
      </c>
      <c r="O211" s="42" t="s">
        <v>784</v>
      </c>
      <c r="P211" s="43">
        <v>46213.0</v>
      </c>
    </row>
    <row r="212" ht="15.75" customHeight="1">
      <c r="A212" s="42" t="s">
        <v>78</v>
      </c>
      <c r="B212" s="42" t="s">
        <v>783</v>
      </c>
      <c r="C212" s="42" t="s">
        <v>475</v>
      </c>
      <c r="D212" s="42" t="s">
        <v>42</v>
      </c>
      <c r="E212" s="42" t="s">
        <v>774</v>
      </c>
      <c r="F212" s="57">
        <v>54.6</v>
      </c>
      <c r="G212" s="42" t="s">
        <v>468</v>
      </c>
      <c r="H212" s="42" t="s">
        <v>86</v>
      </c>
      <c r="I212" s="42" t="s">
        <v>775</v>
      </c>
      <c r="J212" s="57"/>
      <c r="K212" s="57"/>
      <c r="L212" s="57"/>
      <c r="M212" s="57"/>
      <c r="N212" s="42" t="s">
        <v>1611</v>
      </c>
      <c r="O212" s="42" t="s">
        <v>784</v>
      </c>
      <c r="P212" s="43">
        <v>46213.0</v>
      </c>
    </row>
    <row r="213" ht="15.75" customHeight="1">
      <c r="A213" s="42" t="s">
        <v>78</v>
      </c>
      <c r="B213" s="42" t="s">
        <v>783</v>
      </c>
      <c r="C213" s="42" t="s">
        <v>475</v>
      </c>
      <c r="D213" s="42" t="s">
        <v>43</v>
      </c>
      <c r="E213" s="42" t="s">
        <v>774</v>
      </c>
      <c r="F213" s="57">
        <v>67.2</v>
      </c>
      <c r="G213" s="42" t="s">
        <v>468</v>
      </c>
      <c r="H213" s="42" t="s">
        <v>86</v>
      </c>
      <c r="I213" s="42" t="s">
        <v>775</v>
      </c>
      <c r="J213" s="57"/>
      <c r="K213" s="57"/>
      <c r="L213" s="57"/>
      <c r="M213" s="57"/>
      <c r="N213" s="42" t="s">
        <v>1611</v>
      </c>
      <c r="O213" s="42" t="s">
        <v>784</v>
      </c>
      <c r="P213" s="43">
        <v>46213.0</v>
      </c>
    </row>
    <row r="214" ht="15.75" customHeight="1">
      <c r="A214" s="42" t="s">
        <v>78</v>
      </c>
      <c r="B214" s="42" t="s">
        <v>783</v>
      </c>
      <c r="C214" s="42" t="s">
        <v>477</v>
      </c>
      <c r="D214" s="42" t="s">
        <v>44</v>
      </c>
      <c r="E214" s="42" t="s">
        <v>774</v>
      </c>
      <c r="F214" s="57">
        <v>75.0</v>
      </c>
      <c r="G214" s="42" t="s">
        <v>468</v>
      </c>
      <c r="H214" s="42" t="s">
        <v>86</v>
      </c>
      <c r="I214" s="42" t="s">
        <v>775</v>
      </c>
      <c r="J214" s="57"/>
      <c r="K214" s="57"/>
      <c r="L214" s="57"/>
      <c r="M214" s="57"/>
      <c r="N214" s="42" t="s">
        <v>1611</v>
      </c>
      <c r="O214" s="42" t="s">
        <v>784</v>
      </c>
      <c r="P214" s="43">
        <v>46213.0</v>
      </c>
    </row>
    <row r="215" ht="15.75" customHeight="1">
      <c r="A215" s="42" t="s">
        <v>78</v>
      </c>
      <c r="B215" s="42" t="s">
        <v>783</v>
      </c>
      <c r="C215" s="42" t="s">
        <v>485</v>
      </c>
      <c r="D215" s="42" t="s">
        <v>45</v>
      </c>
      <c r="E215" s="42" t="s">
        <v>774</v>
      </c>
      <c r="F215" s="57">
        <v>93.0</v>
      </c>
      <c r="G215" s="42" t="s">
        <v>468</v>
      </c>
      <c r="H215" s="42" t="s">
        <v>86</v>
      </c>
      <c r="I215" s="42" t="s">
        <v>775</v>
      </c>
      <c r="J215" s="57"/>
      <c r="K215" s="57"/>
      <c r="L215" s="57"/>
      <c r="M215" s="57"/>
      <c r="N215" s="42" t="s">
        <v>1611</v>
      </c>
      <c r="O215" s="42" t="s">
        <v>784</v>
      </c>
      <c r="P215" s="43">
        <v>46213.0</v>
      </c>
    </row>
    <row r="216" ht="15.75" customHeight="1">
      <c r="A216" s="42" t="s">
        <v>78</v>
      </c>
      <c r="B216" s="42" t="s">
        <v>783</v>
      </c>
      <c r="C216" s="42" t="s">
        <v>479</v>
      </c>
      <c r="D216" s="42" t="s">
        <v>779</v>
      </c>
      <c r="E216" s="42" t="s">
        <v>780</v>
      </c>
      <c r="F216" s="57">
        <v>79.3</v>
      </c>
      <c r="G216" s="42" t="s">
        <v>468</v>
      </c>
      <c r="H216" s="42" t="s">
        <v>86</v>
      </c>
      <c r="I216" s="42" t="s">
        <v>775</v>
      </c>
      <c r="J216" s="57"/>
      <c r="K216" s="57"/>
      <c r="L216" s="57"/>
      <c r="M216" s="57"/>
      <c r="N216" s="42" t="s">
        <v>1611</v>
      </c>
      <c r="O216" s="42" t="s">
        <v>784</v>
      </c>
      <c r="P216" s="43">
        <v>46213.0</v>
      </c>
    </row>
    <row r="217" ht="15.75" customHeight="1">
      <c r="A217" s="42" t="s">
        <v>78</v>
      </c>
      <c r="B217" s="42" t="s">
        <v>785</v>
      </c>
      <c r="C217" s="42" t="s">
        <v>466</v>
      </c>
      <c r="D217" s="42" t="s">
        <v>37</v>
      </c>
      <c r="E217" s="42" t="s">
        <v>774</v>
      </c>
      <c r="F217" s="57">
        <v>54.4</v>
      </c>
      <c r="G217" s="42" t="s">
        <v>468</v>
      </c>
      <c r="H217" s="42" t="s">
        <v>86</v>
      </c>
      <c r="I217" s="42" t="s">
        <v>775</v>
      </c>
      <c r="J217" s="57"/>
      <c r="K217" s="57"/>
      <c r="L217" s="57"/>
      <c r="M217" s="57"/>
      <c r="N217" s="42" t="s">
        <v>1611</v>
      </c>
      <c r="O217" s="42" t="s">
        <v>786</v>
      </c>
      <c r="P217" s="43">
        <v>46213.0</v>
      </c>
    </row>
    <row r="218" ht="15.75" customHeight="1">
      <c r="A218" s="42" t="s">
        <v>78</v>
      </c>
      <c r="B218" s="42" t="s">
        <v>785</v>
      </c>
      <c r="C218" s="42" t="s">
        <v>472</v>
      </c>
      <c r="D218" s="42" t="s">
        <v>473</v>
      </c>
      <c r="E218" s="42" t="s">
        <v>782</v>
      </c>
      <c r="F218" s="57">
        <v>60.0</v>
      </c>
      <c r="G218" s="42" t="s">
        <v>468</v>
      </c>
      <c r="H218" s="42" t="s">
        <v>86</v>
      </c>
      <c r="I218" s="42" t="s">
        <v>775</v>
      </c>
      <c r="J218" s="57"/>
      <c r="K218" s="57"/>
      <c r="L218" s="57"/>
      <c r="M218" s="57"/>
      <c r="N218" s="42" t="s">
        <v>1611</v>
      </c>
      <c r="O218" s="42" t="s">
        <v>786</v>
      </c>
      <c r="P218" s="43">
        <v>46213.0</v>
      </c>
    </row>
    <row r="219" ht="15.75" customHeight="1">
      <c r="A219" s="42" t="s">
        <v>78</v>
      </c>
      <c r="B219" s="42" t="s">
        <v>785</v>
      </c>
      <c r="C219" s="42" t="s">
        <v>475</v>
      </c>
      <c r="D219" s="42" t="s">
        <v>42</v>
      </c>
      <c r="E219" s="42" t="s">
        <v>774</v>
      </c>
      <c r="F219" s="57">
        <v>42.9</v>
      </c>
      <c r="G219" s="42" t="s">
        <v>468</v>
      </c>
      <c r="H219" s="42" t="s">
        <v>86</v>
      </c>
      <c r="I219" s="42" t="s">
        <v>775</v>
      </c>
      <c r="J219" s="57"/>
      <c r="K219" s="57"/>
      <c r="L219" s="57"/>
      <c r="M219" s="57"/>
      <c r="N219" s="42" t="s">
        <v>1611</v>
      </c>
      <c r="O219" s="42" t="s">
        <v>786</v>
      </c>
      <c r="P219" s="43">
        <v>46213.0</v>
      </c>
    </row>
    <row r="220" ht="15.75" customHeight="1">
      <c r="A220" s="42" t="s">
        <v>78</v>
      </c>
      <c r="B220" s="42" t="s">
        <v>785</v>
      </c>
      <c r="C220" s="42" t="s">
        <v>475</v>
      </c>
      <c r="D220" s="42" t="s">
        <v>43</v>
      </c>
      <c r="E220" s="42" t="s">
        <v>774</v>
      </c>
      <c r="F220" s="57">
        <v>57.7</v>
      </c>
      <c r="G220" s="42" t="s">
        <v>468</v>
      </c>
      <c r="H220" s="42" t="s">
        <v>86</v>
      </c>
      <c r="I220" s="42" t="s">
        <v>775</v>
      </c>
      <c r="J220" s="57"/>
      <c r="K220" s="57"/>
      <c r="L220" s="57"/>
      <c r="M220" s="57"/>
      <c r="N220" s="42" t="s">
        <v>1611</v>
      </c>
      <c r="O220" s="42" t="s">
        <v>786</v>
      </c>
      <c r="P220" s="43">
        <v>46213.0</v>
      </c>
    </row>
    <row r="221" ht="15.75" customHeight="1">
      <c r="A221" s="42" t="s">
        <v>78</v>
      </c>
      <c r="B221" s="42" t="s">
        <v>785</v>
      </c>
      <c r="C221" s="42" t="s">
        <v>477</v>
      </c>
      <c r="D221" s="42" t="s">
        <v>44</v>
      </c>
      <c r="E221" s="42" t="s">
        <v>774</v>
      </c>
      <c r="F221" s="57">
        <v>72.1</v>
      </c>
      <c r="G221" s="42" t="s">
        <v>468</v>
      </c>
      <c r="H221" s="42" t="s">
        <v>86</v>
      </c>
      <c r="I221" s="42" t="s">
        <v>775</v>
      </c>
      <c r="J221" s="57"/>
      <c r="K221" s="57"/>
      <c r="L221" s="57"/>
      <c r="M221" s="57"/>
      <c r="N221" s="42" t="s">
        <v>1611</v>
      </c>
      <c r="O221" s="42" t="s">
        <v>786</v>
      </c>
      <c r="P221" s="43">
        <v>46213.0</v>
      </c>
    </row>
    <row r="222" ht="15.75" customHeight="1">
      <c r="A222" s="42" t="s">
        <v>78</v>
      </c>
      <c r="B222" s="42" t="s">
        <v>785</v>
      </c>
      <c r="C222" s="42" t="s">
        <v>485</v>
      </c>
      <c r="D222" s="42" t="s">
        <v>45</v>
      </c>
      <c r="E222" s="42" t="s">
        <v>774</v>
      </c>
      <c r="F222" s="57">
        <v>88.0</v>
      </c>
      <c r="G222" s="42" t="s">
        <v>468</v>
      </c>
      <c r="H222" s="42" t="s">
        <v>86</v>
      </c>
      <c r="I222" s="42" t="s">
        <v>775</v>
      </c>
      <c r="J222" s="57"/>
      <c r="K222" s="57"/>
      <c r="L222" s="57"/>
      <c r="M222" s="57"/>
      <c r="N222" s="42" t="s">
        <v>1611</v>
      </c>
      <c r="O222" s="42" t="s">
        <v>786</v>
      </c>
      <c r="P222" s="43">
        <v>46213.0</v>
      </c>
    </row>
    <row r="223" ht="15.75" customHeight="1">
      <c r="A223" s="42" t="s">
        <v>78</v>
      </c>
      <c r="B223" s="42" t="s">
        <v>785</v>
      </c>
      <c r="C223" s="42" t="s">
        <v>479</v>
      </c>
      <c r="D223" s="42" t="s">
        <v>779</v>
      </c>
      <c r="E223" s="42" t="s">
        <v>780</v>
      </c>
      <c r="F223" s="57">
        <v>33.6</v>
      </c>
      <c r="G223" s="42" t="s">
        <v>468</v>
      </c>
      <c r="H223" s="42" t="s">
        <v>86</v>
      </c>
      <c r="I223" s="42" t="s">
        <v>775</v>
      </c>
      <c r="J223" s="57"/>
      <c r="K223" s="57"/>
      <c r="L223" s="57"/>
      <c r="M223" s="57"/>
      <c r="N223" s="42" t="s">
        <v>1611</v>
      </c>
      <c r="O223" s="42" t="s">
        <v>786</v>
      </c>
      <c r="P223" s="43">
        <v>46213.0</v>
      </c>
    </row>
    <row r="224" ht="15.75" customHeight="1">
      <c r="A224" s="42" t="s">
        <v>113</v>
      </c>
      <c r="B224" s="42" t="s">
        <v>115</v>
      </c>
      <c r="C224" s="42" t="s">
        <v>466</v>
      </c>
      <c r="D224" s="42" t="s">
        <v>37</v>
      </c>
      <c r="E224" s="42" t="s">
        <v>774</v>
      </c>
      <c r="F224" s="57">
        <v>62.1</v>
      </c>
      <c r="G224" s="42" t="s">
        <v>468</v>
      </c>
      <c r="H224" s="42" t="s">
        <v>86</v>
      </c>
      <c r="I224" s="42" t="s">
        <v>775</v>
      </c>
      <c r="J224" s="57"/>
      <c r="K224" s="57"/>
      <c r="L224" s="57"/>
      <c r="M224" s="57"/>
      <c r="N224" s="42" t="s">
        <v>1611</v>
      </c>
      <c r="O224" s="42" t="s">
        <v>128</v>
      </c>
      <c r="P224" s="43">
        <v>46213.0</v>
      </c>
    </row>
    <row r="225" ht="15.75" customHeight="1">
      <c r="A225" s="42" t="s">
        <v>113</v>
      </c>
      <c r="B225" s="42" t="s">
        <v>115</v>
      </c>
      <c r="C225" s="42" t="s">
        <v>472</v>
      </c>
      <c r="D225" s="42" t="s">
        <v>473</v>
      </c>
      <c r="E225" s="42" t="s">
        <v>778</v>
      </c>
      <c r="F225" s="57">
        <v>81.0</v>
      </c>
      <c r="G225" s="42" t="s">
        <v>468</v>
      </c>
      <c r="H225" s="42" t="s">
        <v>86</v>
      </c>
      <c r="I225" s="42" t="s">
        <v>775</v>
      </c>
      <c r="J225" s="57"/>
      <c r="K225" s="57"/>
      <c r="L225" s="57"/>
      <c r="M225" s="57"/>
      <c r="N225" s="42" t="s">
        <v>1611</v>
      </c>
      <c r="O225" s="42" t="s">
        <v>128</v>
      </c>
      <c r="P225" s="43">
        <v>46213.0</v>
      </c>
    </row>
    <row r="226" ht="15.75" customHeight="1">
      <c r="A226" s="42" t="s">
        <v>113</v>
      </c>
      <c r="B226" s="42" t="s">
        <v>129</v>
      </c>
      <c r="C226" s="42" t="s">
        <v>466</v>
      </c>
      <c r="D226" s="42" t="s">
        <v>37</v>
      </c>
      <c r="E226" s="42" t="s">
        <v>774</v>
      </c>
      <c r="F226" s="57">
        <v>58.4</v>
      </c>
      <c r="G226" s="42" t="s">
        <v>468</v>
      </c>
      <c r="H226" s="42" t="s">
        <v>86</v>
      </c>
      <c r="I226" s="42" t="s">
        <v>775</v>
      </c>
      <c r="J226" s="57"/>
      <c r="K226" s="57"/>
      <c r="L226" s="57"/>
      <c r="M226" s="57"/>
      <c r="N226" s="42" t="s">
        <v>1611</v>
      </c>
      <c r="O226" s="42" t="s">
        <v>128</v>
      </c>
      <c r="P226" s="43">
        <v>46213.0</v>
      </c>
    </row>
    <row r="227" ht="15.75" customHeight="1">
      <c r="A227" s="42" t="s">
        <v>113</v>
      </c>
      <c r="B227" s="42" t="s">
        <v>129</v>
      </c>
      <c r="C227" s="42" t="s">
        <v>472</v>
      </c>
      <c r="D227" s="42" t="s">
        <v>473</v>
      </c>
      <c r="E227" s="42" t="s">
        <v>778</v>
      </c>
      <c r="F227" s="57">
        <v>63.5</v>
      </c>
      <c r="G227" s="42" t="s">
        <v>468</v>
      </c>
      <c r="H227" s="42" t="s">
        <v>86</v>
      </c>
      <c r="I227" s="42" t="s">
        <v>775</v>
      </c>
      <c r="J227" s="57"/>
      <c r="K227" s="57"/>
      <c r="L227" s="57"/>
      <c r="M227" s="57"/>
      <c r="N227" s="42" t="s">
        <v>1611</v>
      </c>
      <c r="O227" s="42" t="s">
        <v>128</v>
      </c>
      <c r="P227" s="43">
        <v>46213.0</v>
      </c>
    </row>
    <row r="228" ht="15.75" customHeight="1">
      <c r="A228" s="42" t="s">
        <v>113</v>
      </c>
      <c r="B228" s="42" t="s">
        <v>135</v>
      </c>
      <c r="C228" s="42" t="s">
        <v>475</v>
      </c>
      <c r="D228" s="42" t="s">
        <v>43</v>
      </c>
      <c r="E228" s="42" t="s">
        <v>774</v>
      </c>
      <c r="F228" s="57">
        <v>76.0</v>
      </c>
      <c r="G228" s="42" t="s">
        <v>468</v>
      </c>
      <c r="H228" s="42" t="s">
        <v>86</v>
      </c>
      <c r="I228" s="42" t="s">
        <v>775</v>
      </c>
      <c r="J228" s="57"/>
      <c r="K228" s="57"/>
      <c r="L228" s="57"/>
      <c r="M228" s="57"/>
      <c r="N228" s="42" t="s">
        <v>1611</v>
      </c>
      <c r="O228" s="42" t="s">
        <v>146</v>
      </c>
      <c r="P228" s="43">
        <v>46213.0</v>
      </c>
    </row>
    <row r="229" ht="15.75" customHeight="1">
      <c r="A229" s="42" t="s">
        <v>113</v>
      </c>
      <c r="B229" s="42" t="s">
        <v>147</v>
      </c>
      <c r="C229" s="42" t="s">
        <v>466</v>
      </c>
      <c r="D229" s="42" t="s">
        <v>37</v>
      </c>
      <c r="E229" s="42" t="s">
        <v>774</v>
      </c>
      <c r="F229" s="57">
        <v>58.6</v>
      </c>
      <c r="G229" s="42" t="s">
        <v>468</v>
      </c>
      <c r="H229" s="42" t="s">
        <v>86</v>
      </c>
      <c r="I229" s="42" t="s">
        <v>775</v>
      </c>
      <c r="J229" s="57"/>
      <c r="K229" s="57"/>
      <c r="L229" s="57"/>
      <c r="M229" s="57"/>
      <c r="N229" s="42" t="s">
        <v>1611</v>
      </c>
      <c r="O229" s="42" t="s">
        <v>155</v>
      </c>
      <c r="P229" s="43">
        <v>46213.0</v>
      </c>
    </row>
    <row r="230" ht="15.75" customHeight="1">
      <c r="A230" s="42" t="s">
        <v>113</v>
      </c>
      <c r="B230" s="42" t="s">
        <v>147</v>
      </c>
      <c r="C230" s="42" t="s">
        <v>472</v>
      </c>
      <c r="D230" s="42" t="s">
        <v>473</v>
      </c>
      <c r="E230" s="42" t="s">
        <v>782</v>
      </c>
      <c r="F230" s="57">
        <v>66.7</v>
      </c>
      <c r="G230" s="42" t="s">
        <v>468</v>
      </c>
      <c r="H230" s="42" t="s">
        <v>86</v>
      </c>
      <c r="I230" s="42" t="s">
        <v>775</v>
      </c>
      <c r="J230" s="57"/>
      <c r="K230" s="57"/>
      <c r="L230" s="57"/>
      <c r="M230" s="57"/>
      <c r="N230" s="42" t="s">
        <v>1611</v>
      </c>
      <c r="O230" s="42" t="s">
        <v>155</v>
      </c>
      <c r="P230" s="43">
        <v>46213.0</v>
      </c>
    </row>
    <row r="231" ht="15.75" customHeight="1">
      <c r="A231" s="42" t="s">
        <v>113</v>
      </c>
      <c r="B231" s="42" t="s">
        <v>147</v>
      </c>
      <c r="C231" s="42" t="s">
        <v>466</v>
      </c>
      <c r="D231" s="42" t="s">
        <v>41</v>
      </c>
      <c r="E231" s="42" t="s">
        <v>774</v>
      </c>
      <c r="F231" s="57">
        <v>80.2</v>
      </c>
      <c r="G231" s="42" t="s">
        <v>468</v>
      </c>
      <c r="H231" s="42" t="s">
        <v>86</v>
      </c>
      <c r="I231" s="42" t="s">
        <v>775</v>
      </c>
      <c r="J231" s="57"/>
      <c r="K231" s="57"/>
      <c r="L231" s="57"/>
      <c r="M231" s="57"/>
      <c r="N231" s="42" t="s">
        <v>1611</v>
      </c>
      <c r="O231" s="42" t="s">
        <v>155</v>
      </c>
      <c r="P231" s="43">
        <v>46213.0</v>
      </c>
    </row>
    <row r="232" ht="15.75" customHeight="1">
      <c r="A232" s="42" t="s">
        <v>113</v>
      </c>
      <c r="B232" s="42" t="s">
        <v>147</v>
      </c>
      <c r="C232" s="42" t="s">
        <v>475</v>
      </c>
      <c r="D232" s="42" t="s">
        <v>42</v>
      </c>
      <c r="E232" s="42" t="s">
        <v>774</v>
      </c>
      <c r="F232" s="57">
        <v>50.0</v>
      </c>
      <c r="G232" s="42" t="s">
        <v>468</v>
      </c>
      <c r="H232" s="42" t="s">
        <v>86</v>
      </c>
      <c r="I232" s="42" t="s">
        <v>775</v>
      </c>
      <c r="J232" s="57"/>
      <c r="K232" s="57"/>
      <c r="L232" s="57"/>
      <c r="M232" s="57"/>
      <c r="N232" s="42" t="s">
        <v>1611</v>
      </c>
      <c r="O232" s="42" t="s">
        <v>155</v>
      </c>
      <c r="P232" s="43">
        <v>46213.0</v>
      </c>
    </row>
    <row r="233" ht="15.75" customHeight="1">
      <c r="A233" s="42" t="s">
        <v>113</v>
      </c>
      <c r="B233" s="42" t="s">
        <v>147</v>
      </c>
      <c r="C233" s="42" t="s">
        <v>477</v>
      </c>
      <c r="D233" s="42" t="s">
        <v>44</v>
      </c>
      <c r="E233" s="42" t="s">
        <v>774</v>
      </c>
      <c r="F233" s="57">
        <v>73.1</v>
      </c>
      <c r="G233" s="42" t="s">
        <v>468</v>
      </c>
      <c r="H233" s="42" t="s">
        <v>86</v>
      </c>
      <c r="I233" s="42" t="s">
        <v>775</v>
      </c>
      <c r="J233" s="57"/>
      <c r="K233" s="57"/>
      <c r="L233" s="57"/>
      <c r="M233" s="57"/>
      <c r="N233" s="42" t="s">
        <v>1611</v>
      </c>
      <c r="O233" s="42" t="s">
        <v>155</v>
      </c>
      <c r="P233" s="43">
        <v>46213.0</v>
      </c>
    </row>
    <row r="234" ht="15.75" customHeight="1">
      <c r="A234" s="42" t="s">
        <v>113</v>
      </c>
      <c r="B234" s="42" t="s">
        <v>147</v>
      </c>
      <c r="C234" s="42" t="s">
        <v>485</v>
      </c>
      <c r="D234" s="42" t="s">
        <v>45</v>
      </c>
      <c r="E234" s="42" t="s">
        <v>774</v>
      </c>
      <c r="F234" s="57">
        <v>90.5</v>
      </c>
      <c r="G234" s="42" t="s">
        <v>468</v>
      </c>
      <c r="H234" s="42" t="s">
        <v>86</v>
      </c>
      <c r="I234" s="42" t="s">
        <v>775</v>
      </c>
      <c r="J234" s="57"/>
      <c r="K234" s="57"/>
      <c r="L234" s="57"/>
      <c r="M234" s="57"/>
      <c r="N234" s="42" t="s">
        <v>1611</v>
      </c>
      <c r="O234" s="42" t="s">
        <v>155</v>
      </c>
      <c r="P234" s="43">
        <v>46213.0</v>
      </c>
    </row>
    <row r="235" ht="15.75" customHeight="1">
      <c r="A235" s="42" t="s">
        <v>113</v>
      </c>
      <c r="B235" s="42" t="s">
        <v>156</v>
      </c>
      <c r="C235" s="42" t="s">
        <v>466</v>
      </c>
      <c r="D235" s="42" t="s">
        <v>37</v>
      </c>
      <c r="E235" s="42" t="s">
        <v>774</v>
      </c>
      <c r="F235" s="57">
        <v>55.0</v>
      </c>
      <c r="G235" s="42" t="s">
        <v>468</v>
      </c>
      <c r="H235" s="42" t="s">
        <v>86</v>
      </c>
      <c r="I235" s="42" t="s">
        <v>775</v>
      </c>
      <c r="J235" s="57"/>
      <c r="K235" s="57"/>
      <c r="L235" s="57"/>
      <c r="M235" s="57"/>
      <c r="N235" s="42" t="s">
        <v>1611</v>
      </c>
      <c r="O235" s="42" t="s">
        <v>166</v>
      </c>
      <c r="P235" s="43">
        <v>46213.0</v>
      </c>
    </row>
    <row r="236" ht="15.75" customHeight="1">
      <c r="A236" s="42" t="s">
        <v>113</v>
      </c>
      <c r="B236" s="42" t="s">
        <v>156</v>
      </c>
      <c r="C236" s="42" t="s">
        <v>472</v>
      </c>
      <c r="D236" s="42" t="s">
        <v>473</v>
      </c>
      <c r="E236" s="42" t="s">
        <v>782</v>
      </c>
      <c r="F236" s="57">
        <v>57.1</v>
      </c>
      <c r="G236" s="42" t="s">
        <v>468</v>
      </c>
      <c r="H236" s="42" t="s">
        <v>86</v>
      </c>
      <c r="I236" s="42" t="s">
        <v>775</v>
      </c>
      <c r="J236" s="57"/>
      <c r="K236" s="57"/>
      <c r="L236" s="57"/>
      <c r="M236" s="57"/>
      <c r="N236" s="42" t="s">
        <v>1611</v>
      </c>
      <c r="O236" s="42" t="s">
        <v>166</v>
      </c>
      <c r="P236" s="43">
        <v>46213.0</v>
      </c>
    </row>
    <row r="237" ht="15.75" customHeight="1">
      <c r="A237" s="42" t="s">
        <v>113</v>
      </c>
      <c r="B237" s="42" t="s">
        <v>156</v>
      </c>
      <c r="C237" s="42" t="s">
        <v>466</v>
      </c>
      <c r="D237" s="42" t="s">
        <v>41</v>
      </c>
      <c r="E237" s="42" t="s">
        <v>774</v>
      </c>
      <c r="F237" s="57">
        <v>78.0</v>
      </c>
      <c r="G237" s="42" t="s">
        <v>468</v>
      </c>
      <c r="H237" s="42" t="s">
        <v>86</v>
      </c>
      <c r="I237" s="42" t="s">
        <v>775</v>
      </c>
      <c r="J237" s="57"/>
      <c r="K237" s="57"/>
      <c r="L237" s="57"/>
      <c r="M237" s="57"/>
      <c r="N237" s="42" t="s">
        <v>1611</v>
      </c>
      <c r="O237" s="42" t="s">
        <v>166</v>
      </c>
      <c r="P237" s="43">
        <v>46213.0</v>
      </c>
    </row>
    <row r="238" ht="15.75" customHeight="1">
      <c r="A238" s="42" t="s">
        <v>113</v>
      </c>
      <c r="B238" s="42" t="s">
        <v>167</v>
      </c>
      <c r="C238" s="42" t="s">
        <v>466</v>
      </c>
      <c r="D238" s="42" t="s">
        <v>37</v>
      </c>
      <c r="E238" s="42" t="s">
        <v>774</v>
      </c>
      <c r="F238" s="57">
        <v>57.2</v>
      </c>
      <c r="G238" s="42" t="s">
        <v>468</v>
      </c>
      <c r="H238" s="42" t="s">
        <v>86</v>
      </c>
      <c r="I238" s="42" t="s">
        <v>775</v>
      </c>
      <c r="J238" s="57"/>
      <c r="K238" s="57"/>
      <c r="L238" s="57"/>
      <c r="M238" s="57"/>
      <c r="N238" s="42" t="s">
        <v>1611</v>
      </c>
      <c r="O238" s="42" t="s">
        <v>166</v>
      </c>
      <c r="P238" s="43">
        <v>46213.0</v>
      </c>
    </row>
    <row r="239" ht="15.75" customHeight="1">
      <c r="A239" s="42" t="s">
        <v>113</v>
      </c>
      <c r="B239" s="42" t="s">
        <v>167</v>
      </c>
      <c r="C239" s="42" t="s">
        <v>472</v>
      </c>
      <c r="D239" s="42" t="s">
        <v>473</v>
      </c>
      <c r="E239" s="42" t="s">
        <v>782</v>
      </c>
      <c r="F239" s="57">
        <v>68.4</v>
      </c>
      <c r="G239" s="42" t="s">
        <v>468</v>
      </c>
      <c r="H239" s="42" t="s">
        <v>86</v>
      </c>
      <c r="I239" s="42" t="s">
        <v>775</v>
      </c>
      <c r="J239" s="57"/>
      <c r="K239" s="57"/>
      <c r="L239" s="57"/>
      <c r="M239" s="57"/>
      <c r="N239" s="42" t="s">
        <v>1611</v>
      </c>
      <c r="O239" s="42" t="s">
        <v>166</v>
      </c>
      <c r="P239" s="43">
        <v>46213.0</v>
      </c>
    </row>
    <row r="240" ht="15.75" customHeight="1">
      <c r="A240" s="42" t="s">
        <v>113</v>
      </c>
      <c r="B240" s="42" t="s">
        <v>167</v>
      </c>
      <c r="C240" s="42" t="s">
        <v>466</v>
      </c>
      <c r="D240" s="42" t="s">
        <v>41</v>
      </c>
      <c r="E240" s="42" t="s">
        <v>774</v>
      </c>
      <c r="F240" s="57">
        <v>78.9</v>
      </c>
      <c r="G240" s="42" t="s">
        <v>468</v>
      </c>
      <c r="H240" s="42" t="s">
        <v>86</v>
      </c>
      <c r="I240" s="42" t="s">
        <v>775</v>
      </c>
      <c r="J240" s="57"/>
      <c r="K240" s="57"/>
      <c r="L240" s="57"/>
      <c r="M240" s="57"/>
      <c r="N240" s="42" t="s">
        <v>1611</v>
      </c>
      <c r="O240" s="42" t="s">
        <v>166</v>
      </c>
      <c r="P240" s="43">
        <v>46213.0</v>
      </c>
    </row>
    <row r="241" ht="15.75" customHeight="1">
      <c r="A241" s="42" t="s">
        <v>113</v>
      </c>
      <c r="B241" s="42" t="s">
        <v>174</v>
      </c>
      <c r="C241" s="42" t="s">
        <v>466</v>
      </c>
      <c r="D241" s="42" t="s">
        <v>37</v>
      </c>
      <c r="E241" s="42" t="s">
        <v>774</v>
      </c>
      <c r="F241" s="57">
        <v>59.0</v>
      </c>
      <c r="G241" s="42" t="s">
        <v>468</v>
      </c>
      <c r="H241" s="42" t="s">
        <v>86</v>
      </c>
      <c r="I241" s="42" t="s">
        <v>775</v>
      </c>
      <c r="J241" s="57"/>
      <c r="K241" s="57"/>
      <c r="L241" s="57"/>
      <c r="M241" s="57"/>
      <c r="N241" s="42" t="s">
        <v>1611</v>
      </c>
      <c r="O241" s="42" t="s">
        <v>183</v>
      </c>
      <c r="P241" s="43">
        <v>46213.0</v>
      </c>
    </row>
    <row r="242" ht="15.75" customHeight="1">
      <c r="A242" s="42" t="s">
        <v>113</v>
      </c>
      <c r="B242" s="42" t="s">
        <v>174</v>
      </c>
      <c r="C242" s="42" t="s">
        <v>472</v>
      </c>
      <c r="D242" s="42" t="s">
        <v>473</v>
      </c>
      <c r="E242" s="42" t="s">
        <v>778</v>
      </c>
      <c r="F242" s="57">
        <v>66.0</v>
      </c>
      <c r="G242" s="42" t="s">
        <v>468</v>
      </c>
      <c r="H242" s="42" t="s">
        <v>86</v>
      </c>
      <c r="I242" s="42" t="s">
        <v>775</v>
      </c>
      <c r="J242" s="57"/>
      <c r="K242" s="57"/>
      <c r="L242" s="57"/>
      <c r="M242" s="57"/>
      <c r="N242" s="42" t="s">
        <v>1611</v>
      </c>
      <c r="O242" s="42" t="s">
        <v>183</v>
      </c>
      <c r="P242" s="43">
        <v>46213.0</v>
      </c>
    </row>
    <row r="243" ht="15.75" customHeight="1">
      <c r="A243" s="42" t="s">
        <v>113</v>
      </c>
      <c r="B243" s="42" t="s">
        <v>174</v>
      </c>
      <c r="C243" s="42" t="s">
        <v>475</v>
      </c>
      <c r="D243" s="42" t="s">
        <v>43</v>
      </c>
      <c r="E243" s="42" t="s">
        <v>774</v>
      </c>
      <c r="F243" s="57">
        <v>74.2</v>
      </c>
      <c r="G243" s="42" t="s">
        <v>468</v>
      </c>
      <c r="H243" s="42" t="s">
        <v>86</v>
      </c>
      <c r="I243" s="42" t="s">
        <v>775</v>
      </c>
      <c r="J243" s="57"/>
      <c r="K243" s="57"/>
      <c r="L243" s="57"/>
      <c r="M243" s="57"/>
      <c r="N243" s="42" t="s">
        <v>1611</v>
      </c>
      <c r="O243" s="42" t="s">
        <v>183</v>
      </c>
      <c r="P243" s="43">
        <v>46213.0</v>
      </c>
    </row>
    <row r="244" ht="15.75" customHeight="1">
      <c r="A244" s="42" t="s">
        <v>113</v>
      </c>
      <c r="B244" s="42" t="s">
        <v>184</v>
      </c>
      <c r="C244" s="42" t="s">
        <v>466</v>
      </c>
      <c r="D244" s="42" t="s">
        <v>37</v>
      </c>
      <c r="E244" s="42" t="s">
        <v>774</v>
      </c>
      <c r="F244" s="57">
        <v>56.2</v>
      </c>
      <c r="G244" s="42" t="s">
        <v>468</v>
      </c>
      <c r="H244" s="42" t="s">
        <v>86</v>
      </c>
      <c r="I244" s="42" t="s">
        <v>775</v>
      </c>
      <c r="J244" s="57"/>
      <c r="K244" s="57"/>
      <c r="L244" s="57"/>
      <c r="M244" s="57"/>
      <c r="N244" s="42" t="s">
        <v>1611</v>
      </c>
      <c r="O244" s="42" t="s">
        <v>192</v>
      </c>
      <c r="P244" s="43">
        <v>46213.0</v>
      </c>
    </row>
    <row r="245" ht="15.75" customHeight="1">
      <c r="A245" s="42" t="s">
        <v>113</v>
      </c>
      <c r="B245" s="42" t="s">
        <v>184</v>
      </c>
      <c r="C245" s="42" t="s">
        <v>472</v>
      </c>
      <c r="D245" s="42" t="s">
        <v>473</v>
      </c>
      <c r="E245" s="42" t="s">
        <v>782</v>
      </c>
      <c r="F245" s="57">
        <v>57.0</v>
      </c>
      <c r="G245" s="42" t="s">
        <v>468</v>
      </c>
      <c r="H245" s="42" t="s">
        <v>86</v>
      </c>
      <c r="I245" s="42" t="s">
        <v>775</v>
      </c>
      <c r="J245" s="57"/>
      <c r="K245" s="57"/>
      <c r="L245" s="57"/>
      <c r="M245" s="57"/>
      <c r="N245" s="42" t="s">
        <v>1611</v>
      </c>
      <c r="O245" s="42" t="s">
        <v>192</v>
      </c>
      <c r="P245" s="43">
        <v>46213.0</v>
      </c>
    </row>
    <row r="246" ht="15.75" customHeight="1">
      <c r="A246" s="42" t="s">
        <v>113</v>
      </c>
      <c r="B246" s="42" t="s">
        <v>184</v>
      </c>
      <c r="C246" s="42" t="s">
        <v>475</v>
      </c>
      <c r="D246" s="42" t="s">
        <v>42</v>
      </c>
      <c r="E246" s="42" t="s">
        <v>774</v>
      </c>
      <c r="F246" s="57">
        <v>46.3</v>
      </c>
      <c r="G246" s="42" t="s">
        <v>468</v>
      </c>
      <c r="H246" s="42" t="s">
        <v>86</v>
      </c>
      <c r="I246" s="42" t="s">
        <v>775</v>
      </c>
      <c r="J246" s="57"/>
      <c r="K246" s="57"/>
      <c r="L246" s="57"/>
      <c r="M246" s="57"/>
      <c r="N246" s="42" t="s">
        <v>1611</v>
      </c>
      <c r="O246" s="42" t="s">
        <v>192</v>
      </c>
      <c r="P246" s="43">
        <v>46213.0</v>
      </c>
    </row>
    <row r="247" ht="15.75" customHeight="1">
      <c r="A247" s="42" t="s">
        <v>113</v>
      </c>
      <c r="B247" s="42" t="s">
        <v>184</v>
      </c>
      <c r="C247" s="42" t="s">
        <v>485</v>
      </c>
      <c r="D247" s="42" t="s">
        <v>45</v>
      </c>
      <c r="E247" s="42" t="s">
        <v>774</v>
      </c>
      <c r="F247" s="57">
        <v>89.8</v>
      </c>
      <c r="G247" s="42" t="s">
        <v>468</v>
      </c>
      <c r="H247" s="42" t="s">
        <v>86</v>
      </c>
      <c r="I247" s="42" t="s">
        <v>775</v>
      </c>
      <c r="J247" s="57"/>
      <c r="K247" s="57"/>
      <c r="L247" s="57"/>
      <c r="M247" s="57"/>
      <c r="N247" s="42" t="s">
        <v>1611</v>
      </c>
      <c r="O247" s="42" t="s">
        <v>192</v>
      </c>
      <c r="P247" s="43">
        <v>46213.0</v>
      </c>
    </row>
    <row r="248" ht="15.75" customHeight="1">
      <c r="A248" s="42" t="s">
        <v>113</v>
      </c>
      <c r="B248" s="42" t="s">
        <v>193</v>
      </c>
      <c r="C248" s="42" t="s">
        <v>466</v>
      </c>
      <c r="D248" s="42" t="s">
        <v>37</v>
      </c>
      <c r="E248" s="42" t="s">
        <v>774</v>
      </c>
      <c r="F248" s="57">
        <v>60.6</v>
      </c>
      <c r="G248" s="42" t="s">
        <v>468</v>
      </c>
      <c r="H248" s="42" t="s">
        <v>86</v>
      </c>
      <c r="I248" s="42" t="s">
        <v>775</v>
      </c>
      <c r="J248" s="57"/>
      <c r="K248" s="57"/>
      <c r="L248" s="57"/>
      <c r="M248" s="57"/>
      <c r="N248" s="42" t="s">
        <v>1611</v>
      </c>
      <c r="O248" s="42" t="s">
        <v>201</v>
      </c>
      <c r="P248" s="43">
        <v>46213.0</v>
      </c>
    </row>
    <row r="249" ht="15.75" customHeight="1">
      <c r="A249" s="42" t="s">
        <v>113</v>
      </c>
      <c r="B249" s="42" t="s">
        <v>193</v>
      </c>
      <c r="C249" s="42" t="s">
        <v>472</v>
      </c>
      <c r="D249" s="42" t="s">
        <v>473</v>
      </c>
      <c r="E249" s="42" t="s">
        <v>782</v>
      </c>
      <c r="F249" s="57">
        <v>69.7</v>
      </c>
      <c r="G249" s="42" t="s">
        <v>468</v>
      </c>
      <c r="H249" s="42" t="s">
        <v>86</v>
      </c>
      <c r="I249" s="42" t="s">
        <v>775</v>
      </c>
      <c r="J249" s="57"/>
      <c r="K249" s="57"/>
      <c r="L249" s="57"/>
      <c r="M249" s="57"/>
      <c r="N249" s="42" t="s">
        <v>1611</v>
      </c>
      <c r="O249" s="42" t="s">
        <v>201</v>
      </c>
      <c r="P249" s="43">
        <v>46213.0</v>
      </c>
    </row>
    <row r="250" ht="15.75" customHeight="1">
      <c r="A250" s="42" t="s">
        <v>113</v>
      </c>
      <c r="B250" s="42" t="s">
        <v>193</v>
      </c>
      <c r="C250" s="42" t="s">
        <v>466</v>
      </c>
      <c r="D250" s="42" t="s">
        <v>41</v>
      </c>
      <c r="E250" s="42" t="s">
        <v>774</v>
      </c>
      <c r="F250" s="57">
        <v>80.4</v>
      </c>
      <c r="G250" s="42" t="s">
        <v>468</v>
      </c>
      <c r="H250" s="42" t="s">
        <v>86</v>
      </c>
      <c r="I250" s="42" t="s">
        <v>775</v>
      </c>
      <c r="J250" s="57"/>
      <c r="K250" s="57"/>
      <c r="L250" s="57"/>
      <c r="M250" s="57"/>
      <c r="N250" s="42" t="s">
        <v>1611</v>
      </c>
      <c r="O250" s="42" t="s">
        <v>201</v>
      </c>
      <c r="P250" s="43">
        <v>46213.0</v>
      </c>
    </row>
    <row r="251" ht="15.75" customHeight="1">
      <c r="A251" s="42" t="s">
        <v>113</v>
      </c>
      <c r="B251" s="42" t="s">
        <v>193</v>
      </c>
      <c r="C251" s="42" t="s">
        <v>475</v>
      </c>
      <c r="D251" s="42" t="s">
        <v>43</v>
      </c>
      <c r="E251" s="42" t="s">
        <v>774</v>
      </c>
      <c r="F251" s="57">
        <v>76.4</v>
      </c>
      <c r="G251" s="42" t="s">
        <v>468</v>
      </c>
      <c r="H251" s="42" t="s">
        <v>86</v>
      </c>
      <c r="I251" s="42" t="s">
        <v>775</v>
      </c>
      <c r="J251" s="57"/>
      <c r="K251" s="57"/>
      <c r="L251" s="57"/>
      <c r="M251" s="57"/>
      <c r="N251" s="42" t="s">
        <v>1611</v>
      </c>
      <c r="O251" s="42" t="s">
        <v>201</v>
      </c>
      <c r="P251" s="43">
        <v>46213.0</v>
      </c>
    </row>
    <row r="252" ht="15.75" customHeight="1">
      <c r="A252" s="42" t="s">
        <v>113</v>
      </c>
      <c r="B252" s="42" t="s">
        <v>193</v>
      </c>
      <c r="C252" s="42" t="s">
        <v>485</v>
      </c>
      <c r="D252" s="42" t="s">
        <v>45</v>
      </c>
      <c r="E252" s="42" t="s">
        <v>774</v>
      </c>
      <c r="F252" s="57">
        <v>92.4</v>
      </c>
      <c r="G252" s="42" t="s">
        <v>468</v>
      </c>
      <c r="H252" s="42" t="s">
        <v>86</v>
      </c>
      <c r="I252" s="42" t="s">
        <v>775</v>
      </c>
      <c r="J252" s="57"/>
      <c r="K252" s="57"/>
      <c r="L252" s="57"/>
      <c r="M252" s="57"/>
      <c r="N252" s="42" t="s">
        <v>1611</v>
      </c>
      <c r="O252" s="42" t="s">
        <v>201</v>
      </c>
      <c r="P252" s="43">
        <v>46213.0</v>
      </c>
    </row>
    <row r="253" ht="15.75" customHeight="1">
      <c r="A253" s="42" t="s">
        <v>113</v>
      </c>
      <c r="B253" s="42" t="s">
        <v>202</v>
      </c>
      <c r="C253" s="42" t="s">
        <v>466</v>
      </c>
      <c r="D253" s="42" t="s">
        <v>37</v>
      </c>
      <c r="E253" s="42" t="s">
        <v>774</v>
      </c>
      <c r="F253" s="57">
        <v>57.6</v>
      </c>
      <c r="G253" s="42" t="s">
        <v>468</v>
      </c>
      <c r="H253" s="42" t="s">
        <v>86</v>
      </c>
      <c r="I253" s="42" t="s">
        <v>775</v>
      </c>
      <c r="J253" s="57"/>
      <c r="K253" s="57"/>
      <c r="L253" s="57"/>
      <c r="M253" s="57"/>
      <c r="N253" s="42" t="s">
        <v>1611</v>
      </c>
      <c r="O253" s="42" t="s">
        <v>201</v>
      </c>
      <c r="P253" s="43">
        <v>46213.0</v>
      </c>
    </row>
    <row r="254" ht="15.75" customHeight="1">
      <c r="A254" s="42" t="s">
        <v>113</v>
      </c>
      <c r="B254" s="42" t="s">
        <v>202</v>
      </c>
      <c r="C254" s="42" t="s">
        <v>472</v>
      </c>
      <c r="D254" s="42" t="s">
        <v>473</v>
      </c>
      <c r="E254" s="42" t="s">
        <v>782</v>
      </c>
      <c r="F254" s="57">
        <v>70.3</v>
      </c>
      <c r="G254" s="42" t="s">
        <v>468</v>
      </c>
      <c r="H254" s="42" t="s">
        <v>86</v>
      </c>
      <c r="I254" s="42" t="s">
        <v>775</v>
      </c>
      <c r="J254" s="57"/>
      <c r="K254" s="57"/>
      <c r="L254" s="57"/>
      <c r="M254" s="57"/>
      <c r="N254" s="42" t="s">
        <v>1611</v>
      </c>
      <c r="O254" s="42" t="s">
        <v>201</v>
      </c>
      <c r="P254" s="43">
        <v>46213.0</v>
      </c>
    </row>
    <row r="255" ht="15.75" customHeight="1">
      <c r="A255" s="42" t="s">
        <v>113</v>
      </c>
      <c r="B255" s="42" t="s">
        <v>202</v>
      </c>
      <c r="C255" s="42" t="s">
        <v>466</v>
      </c>
      <c r="D255" s="42" t="s">
        <v>41</v>
      </c>
      <c r="E255" s="42" t="s">
        <v>774</v>
      </c>
      <c r="F255" s="57">
        <v>77.7</v>
      </c>
      <c r="G255" s="42" t="s">
        <v>468</v>
      </c>
      <c r="H255" s="42" t="s">
        <v>86</v>
      </c>
      <c r="I255" s="42" t="s">
        <v>775</v>
      </c>
      <c r="J255" s="57"/>
      <c r="K255" s="57"/>
      <c r="L255" s="57"/>
      <c r="M255" s="57"/>
      <c r="N255" s="42" t="s">
        <v>1611</v>
      </c>
      <c r="O255" s="42" t="s">
        <v>201</v>
      </c>
      <c r="P255" s="43">
        <v>46213.0</v>
      </c>
    </row>
    <row r="256" ht="15.75" customHeight="1">
      <c r="A256" s="42" t="s">
        <v>113</v>
      </c>
      <c r="B256" s="42" t="s">
        <v>209</v>
      </c>
      <c r="C256" s="42" t="s">
        <v>466</v>
      </c>
      <c r="D256" s="42" t="s">
        <v>37</v>
      </c>
      <c r="E256" s="42" t="s">
        <v>774</v>
      </c>
      <c r="F256" s="57">
        <v>56.6</v>
      </c>
      <c r="G256" s="42" t="s">
        <v>468</v>
      </c>
      <c r="H256" s="42" t="s">
        <v>86</v>
      </c>
      <c r="I256" s="42" t="s">
        <v>775</v>
      </c>
      <c r="J256" s="57"/>
      <c r="K256" s="57"/>
      <c r="L256" s="57"/>
      <c r="M256" s="57"/>
      <c r="N256" s="42" t="s">
        <v>1611</v>
      </c>
      <c r="O256" s="42" t="s">
        <v>215</v>
      </c>
      <c r="P256" s="43">
        <v>46213.0</v>
      </c>
    </row>
    <row r="257" ht="15.75" customHeight="1">
      <c r="A257" s="42" t="s">
        <v>113</v>
      </c>
      <c r="B257" s="42" t="s">
        <v>209</v>
      </c>
      <c r="C257" s="42" t="s">
        <v>472</v>
      </c>
      <c r="D257" s="42" t="s">
        <v>473</v>
      </c>
      <c r="E257" s="42" t="s">
        <v>782</v>
      </c>
      <c r="F257" s="57">
        <v>61.6</v>
      </c>
      <c r="G257" s="42" t="s">
        <v>468</v>
      </c>
      <c r="H257" s="42" t="s">
        <v>86</v>
      </c>
      <c r="I257" s="42" t="s">
        <v>775</v>
      </c>
      <c r="J257" s="57"/>
      <c r="K257" s="57"/>
      <c r="L257" s="57"/>
      <c r="M257" s="57"/>
      <c r="N257" s="42" t="s">
        <v>1611</v>
      </c>
      <c r="O257" s="42" t="s">
        <v>215</v>
      </c>
      <c r="P257" s="43">
        <v>46213.0</v>
      </c>
    </row>
    <row r="258" ht="15.75" customHeight="1">
      <c r="A258" s="42" t="s">
        <v>113</v>
      </c>
      <c r="B258" s="42" t="s">
        <v>209</v>
      </c>
      <c r="C258" s="42" t="s">
        <v>466</v>
      </c>
      <c r="D258" s="42" t="s">
        <v>41</v>
      </c>
      <c r="E258" s="42" t="s">
        <v>774</v>
      </c>
      <c r="F258" s="57">
        <v>78.8</v>
      </c>
      <c r="G258" s="42" t="s">
        <v>468</v>
      </c>
      <c r="H258" s="42" t="s">
        <v>86</v>
      </c>
      <c r="I258" s="42" t="s">
        <v>775</v>
      </c>
      <c r="J258" s="57"/>
      <c r="K258" s="57"/>
      <c r="L258" s="57"/>
      <c r="M258" s="57"/>
      <c r="N258" s="42" t="s">
        <v>1611</v>
      </c>
      <c r="O258" s="42" t="s">
        <v>215</v>
      </c>
      <c r="P258" s="43">
        <v>46213.0</v>
      </c>
    </row>
    <row r="259" ht="15.75" customHeight="1">
      <c r="A259" s="42" t="s">
        <v>113</v>
      </c>
      <c r="B259" s="42" t="s">
        <v>216</v>
      </c>
      <c r="C259" s="42" t="s">
        <v>466</v>
      </c>
      <c r="D259" s="42" t="s">
        <v>37</v>
      </c>
      <c r="E259" s="42" t="s">
        <v>774</v>
      </c>
      <c r="F259" s="57">
        <v>55.4</v>
      </c>
      <c r="G259" s="42" t="s">
        <v>468</v>
      </c>
      <c r="H259" s="42" t="s">
        <v>86</v>
      </c>
      <c r="I259" s="42" t="s">
        <v>775</v>
      </c>
      <c r="J259" s="57"/>
      <c r="K259" s="57"/>
      <c r="L259" s="57"/>
      <c r="M259" s="57"/>
      <c r="N259" s="42" t="s">
        <v>1611</v>
      </c>
      <c r="O259" s="42" t="s">
        <v>224</v>
      </c>
      <c r="P259" s="43">
        <v>46213.0</v>
      </c>
    </row>
    <row r="260" ht="15.75" customHeight="1">
      <c r="A260" s="42" t="s">
        <v>113</v>
      </c>
      <c r="B260" s="42" t="s">
        <v>216</v>
      </c>
      <c r="C260" s="42" t="s">
        <v>472</v>
      </c>
      <c r="D260" s="42" t="s">
        <v>473</v>
      </c>
      <c r="E260" s="42" t="s">
        <v>782</v>
      </c>
      <c r="F260" s="57">
        <v>67.9</v>
      </c>
      <c r="G260" s="42" t="s">
        <v>468</v>
      </c>
      <c r="H260" s="42" t="s">
        <v>86</v>
      </c>
      <c r="I260" s="42" t="s">
        <v>775</v>
      </c>
      <c r="J260" s="57"/>
      <c r="K260" s="57"/>
      <c r="L260" s="57"/>
      <c r="M260" s="57"/>
      <c r="N260" s="42" t="s">
        <v>1611</v>
      </c>
      <c r="O260" s="42" t="s">
        <v>224</v>
      </c>
      <c r="P260" s="43">
        <v>46213.0</v>
      </c>
    </row>
    <row r="261" ht="15.75" customHeight="1">
      <c r="A261" s="42" t="s">
        <v>113</v>
      </c>
      <c r="B261" s="42" t="s">
        <v>216</v>
      </c>
      <c r="C261" s="42" t="s">
        <v>466</v>
      </c>
      <c r="D261" s="42" t="s">
        <v>41</v>
      </c>
      <c r="E261" s="42" t="s">
        <v>774</v>
      </c>
      <c r="F261" s="57">
        <v>80.6</v>
      </c>
      <c r="G261" s="42" t="s">
        <v>468</v>
      </c>
      <c r="H261" s="42" t="s">
        <v>86</v>
      </c>
      <c r="I261" s="42" t="s">
        <v>775</v>
      </c>
      <c r="J261" s="57"/>
      <c r="K261" s="57"/>
      <c r="L261" s="57"/>
      <c r="M261" s="57"/>
      <c r="N261" s="42" t="s">
        <v>1611</v>
      </c>
      <c r="O261" s="42" t="s">
        <v>224</v>
      </c>
      <c r="P261" s="43">
        <v>46213.0</v>
      </c>
    </row>
    <row r="262" ht="15.75" customHeight="1">
      <c r="A262" s="42" t="s">
        <v>113</v>
      </c>
      <c r="B262" s="42" t="s">
        <v>216</v>
      </c>
      <c r="C262" s="42" t="s">
        <v>475</v>
      </c>
      <c r="D262" s="42" t="s">
        <v>43</v>
      </c>
      <c r="E262" s="42" t="s">
        <v>774</v>
      </c>
      <c r="F262" s="57">
        <v>73.6</v>
      </c>
      <c r="G262" s="42" t="s">
        <v>468</v>
      </c>
      <c r="H262" s="42" t="s">
        <v>86</v>
      </c>
      <c r="I262" s="42" t="s">
        <v>775</v>
      </c>
      <c r="J262" s="57"/>
      <c r="K262" s="57"/>
      <c r="L262" s="57"/>
      <c r="M262" s="57"/>
      <c r="N262" s="42" t="s">
        <v>1611</v>
      </c>
      <c r="O262" s="42" t="s">
        <v>224</v>
      </c>
      <c r="P262" s="43">
        <v>46213.0</v>
      </c>
    </row>
    <row r="263" ht="15.75" customHeight="1">
      <c r="A263" s="42" t="s">
        <v>113</v>
      </c>
      <c r="B263" s="42" t="s">
        <v>225</v>
      </c>
      <c r="C263" s="42" t="s">
        <v>466</v>
      </c>
      <c r="D263" s="42" t="s">
        <v>37</v>
      </c>
      <c r="E263" s="42" t="s">
        <v>774</v>
      </c>
      <c r="F263" s="57">
        <v>52.6</v>
      </c>
      <c r="G263" s="42" t="s">
        <v>468</v>
      </c>
      <c r="H263" s="42" t="s">
        <v>86</v>
      </c>
      <c r="I263" s="42" t="s">
        <v>775</v>
      </c>
      <c r="J263" s="57"/>
      <c r="K263" s="57"/>
      <c r="L263" s="57"/>
      <c r="M263" s="57"/>
      <c r="N263" s="42" t="s">
        <v>1611</v>
      </c>
      <c r="O263" s="42" t="s">
        <v>224</v>
      </c>
      <c r="P263" s="43">
        <v>46213.0</v>
      </c>
    </row>
    <row r="264" ht="15.75" customHeight="1">
      <c r="A264" s="42" t="s">
        <v>113</v>
      </c>
      <c r="B264" s="42" t="s">
        <v>225</v>
      </c>
      <c r="C264" s="42" t="s">
        <v>472</v>
      </c>
      <c r="D264" s="42" t="s">
        <v>473</v>
      </c>
      <c r="E264" s="42" t="s">
        <v>782</v>
      </c>
      <c r="F264" s="57">
        <v>56.9</v>
      </c>
      <c r="G264" s="42" t="s">
        <v>468</v>
      </c>
      <c r="H264" s="42" t="s">
        <v>86</v>
      </c>
      <c r="I264" s="42" t="s">
        <v>775</v>
      </c>
      <c r="J264" s="57"/>
      <c r="K264" s="57"/>
      <c r="L264" s="57"/>
      <c r="M264" s="57"/>
      <c r="N264" s="42" t="s">
        <v>1611</v>
      </c>
      <c r="O264" s="42" t="s">
        <v>224</v>
      </c>
      <c r="P264" s="43">
        <v>46213.0</v>
      </c>
    </row>
    <row r="265" ht="15.75" customHeight="1">
      <c r="A265" s="42" t="s">
        <v>113</v>
      </c>
      <c r="B265" s="42" t="s">
        <v>225</v>
      </c>
      <c r="C265" s="42" t="s">
        <v>466</v>
      </c>
      <c r="D265" s="42" t="s">
        <v>41</v>
      </c>
      <c r="E265" s="42" t="s">
        <v>774</v>
      </c>
      <c r="F265" s="57">
        <v>79.0</v>
      </c>
      <c r="G265" s="42" t="s">
        <v>468</v>
      </c>
      <c r="H265" s="42" t="s">
        <v>86</v>
      </c>
      <c r="I265" s="42" t="s">
        <v>775</v>
      </c>
      <c r="J265" s="57"/>
      <c r="K265" s="57"/>
      <c r="L265" s="57"/>
      <c r="M265" s="57"/>
      <c r="N265" s="42" t="s">
        <v>1611</v>
      </c>
      <c r="O265" s="42" t="s">
        <v>224</v>
      </c>
      <c r="P265" s="43">
        <v>46213.0</v>
      </c>
    </row>
    <row r="266" ht="15.75" customHeight="1">
      <c r="A266" s="42" t="s">
        <v>787</v>
      </c>
      <c r="B266" s="42" t="s">
        <v>788</v>
      </c>
      <c r="C266" s="42" t="s">
        <v>466</v>
      </c>
      <c r="D266" s="42" t="s">
        <v>37</v>
      </c>
      <c r="E266" s="42" t="s">
        <v>774</v>
      </c>
      <c r="F266" s="57">
        <v>80.0</v>
      </c>
      <c r="G266" s="42" t="s">
        <v>468</v>
      </c>
      <c r="H266" s="42" t="s">
        <v>86</v>
      </c>
      <c r="I266" s="42" t="s">
        <v>775</v>
      </c>
      <c r="J266" s="57"/>
      <c r="K266" s="57"/>
      <c r="L266" s="57"/>
      <c r="M266" s="57"/>
      <c r="N266" s="42" t="s">
        <v>1611</v>
      </c>
      <c r="O266" s="42" t="s">
        <v>789</v>
      </c>
      <c r="P266" s="43">
        <v>46213.0</v>
      </c>
    </row>
    <row r="267" ht="15.75" customHeight="1">
      <c r="A267" s="42" t="s">
        <v>787</v>
      </c>
      <c r="B267" s="42" t="s">
        <v>788</v>
      </c>
      <c r="C267" s="42" t="s">
        <v>472</v>
      </c>
      <c r="D267" s="42" t="s">
        <v>473</v>
      </c>
      <c r="E267" s="42" t="s">
        <v>778</v>
      </c>
      <c r="F267" s="57">
        <v>84.3</v>
      </c>
      <c r="G267" s="42" t="s">
        <v>468</v>
      </c>
      <c r="H267" s="42" t="s">
        <v>86</v>
      </c>
      <c r="I267" s="42" t="s">
        <v>775</v>
      </c>
      <c r="J267" s="57"/>
      <c r="K267" s="57"/>
      <c r="L267" s="57"/>
      <c r="M267" s="57"/>
      <c r="N267" s="42" t="s">
        <v>1611</v>
      </c>
      <c r="O267" s="42" t="s">
        <v>789</v>
      </c>
      <c r="P267" s="43">
        <v>46213.0</v>
      </c>
    </row>
    <row r="268" ht="15.75" customHeight="1">
      <c r="A268" s="42" t="s">
        <v>787</v>
      </c>
      <c r="B268" s="42" t="s">
        <v>788</v>
      </c>
      <c r="C268" s="42" t="s">
        <v>466</v>
      </c>
      <c r="D268" s="42" t="s">
        <v>41</v>
      </c>
      <c r="E268" s="42" t="s">
        <v>774</v>
      </c>
      <c r="F268" s="57">
        <v>95.0</v>
      </c>
      <c r="G268" s="42" t="s">
        <v>468</v>
      </c>
      <c r="H268" s="42" t="s">
        <v>86</v>
      </c>
      <c r="I268" s="42" t="s">
        <v>775</v>
      </c>
      <c r="J268" s="57"/>
      <c r="K268" s="57"/>
      <c r="L268" s="57"/>
      <c r="M268" s="57"/>
      <c r="N268" s="42" t="s">
        <v>1611</v>
      </c>
      <c r="O268" s="42" t="s">
        <v>789</v>
      </c>
      <c r="P268" s="43">
        <v>46213.0</v>
      </c>
    </row>
    <row r="269" ht="15.75" customHeight="1">
      <c r="A269" s="42" t="s">
        <v>787</v>
      </c>
      <c r="B269" s="42" t="s">
        <v>788</v>
      </c>
      <c r="C269" s="42" t="s">
        <v>477</v>
      </c>
      <c r="D269" s="42" t="s">
        <v>44</v>
      </c>
      <c r="E269" s="42" t="s">
        <v>774</v>
      </c>
      <c r="F269" s="57">
        <v>85.0</v>
      </c>
      <c r="G269" s="42" t="s">
        <v>468</v>
      </c>
      <c r="H269" s="42" t="s">
        <v>86</v>
      </c>
      <c r="I269" s="42" t="s">
        <v>775</v>
      </c>
      <c r="J269" s="57"/>
      <c r="K269" s="57"/>
      <c r="L269" s="57"/>
      <c r="M269" s="57"/>
      <c r="N269" s="42" t="s">
        <v>1611</v>
      </c>
      <c r="O269" s="42" t="s">
        <v>789</v>
      </c>
      <c r="P269" s="43">
        <v>46213.0</v>
      </c>
    </row>
    <row r="270" ht="15.75" customHeight="1">
      <c r="A270" s="42" t="s">
        <v>787</v>
      </c>
      <c r="B270" s="42" t="s">
        <v>790</v>
      </c>
      <c r="C270" s="42" t="s">
        <v>466</v>
      </c>
      <c r="D270" s="42" t="s">
        <v>37</v>
      </c>
      <c r="E270" s="42" t="s">
        <v>774</v>
      </c>
      <c r="F270" s="57">
        <v>69.2</v>
      </c>
      <c r="G270" s="42" t="s">
        <v>468</v>
      </c>
      <c r="H270" s="42" t="s">
        <v>86</v>
      </c>
      <c r="I270" s="42" t="s">
        <v>775</v>
      </c>
      <c r="J270" s="57"/>
      <c r="K270" s="57"/>
      <c r="L270" s="57"/>
      <c r="M270" s="57"/>
      <c r="N270" s="42" t="s">
        <v>1611</v>
      </c>
      <c r="O270" s="42" t="s">
        <v>791</v>
      </c>
      <c r="P270" s="43">
        <v>46213.0</v>
      </c>
    </row>
    <row r="271" ht="15.75" customHeight="1">
      <c r="A271" s="42" t="s">
        <v>787</v>
      </c>
      <c r="B271" s="42" t="s">
        <v>790</v>
      </c>
      <c r="C271" s="42" t="s">
        <v>472</v>
      </c>
      <c r="D271" s="42" t="s">
        <v>473</v>
      </c>
      <c r="E271" s="42" t="s">
        <v>778</v>
      </c>
      <c r="F271" s="57">
        <v>74.6</v>
      </c>
      <c r="G271" s="42" t="s">
        <v>468</v>
      </c>
      <c r="H271" s="42" t="s">
        <v>86</v>
      </c>
      <c r="I271" s="42" t="s">
        <v>775</v>
      </c>
      <c r="J271" s="57"/>
      <c r="K271" s="57"/>
      <c r="L271" s="57"/>
      <c r="M271" s="57"/>
      <c r="N271" s="42" t="s">
        <v>1611</v>
      </c>
      <c r="O271" s="42" t="s">
        <v>791</v>
      </c>
      <c r="P271" s="43">
        <v>46213.0</v>
      </c>
    </row>
    <row r="272" ht="15.75" customHeight="1">
      <c r="A272" s="42" t="s">
        <v>787</v>
      </c>
      <c r="B272" s="42" t="s">
        <v>790</v>
      </c>
      <c r="C272" s="42" t="s">
        <v>466</v>
      </c>
      <c r="D272" s="42" t="s">
        <v>41</v>
      </c>
      <c r="E272" s="42" t="s">
        <v>774</v>
      </c>
      <c r="F272" s="57">
        <v>88.6</v>
      </c>
      <c r="G272" s="42" t="s">
        <v>468</v>
      </c>
      <c r="H272" s="42" t="s">
        <v>86</v>
      </c>
      <c r="I272" s="42" t="s">
        <v>775</v>
      </c>
      <c r="J272" s="57"/>
      <c r="K272" s="57"/>
      <c r="L272" s="57"/>
      <c r="M272" s="57"/>
      <c r="N272" s="42" t="s">
        <v>1611</v>
      </c>
      <c r="O272" s="42" t="s">
        <v>791</v>
      </c>
      <c r="P272" s="43">
        <v>46213.0</v>
      </c>
    </row>
    <row r="273" ht="15.75" customHeight="1">
      <c r="A273" s="42" t="s">
        <v>787</v>
      </c>
      <c r="B273" s="42" t="s">
        <v>790</v>
      </c>
      <c r="C273" s="42" t="s">
        <v>477</v>
      </c>
      <c r="D273" s="42" t="s">
        <v>44</v>
      </c>
      <c r="E273" s="42" t="s">
        <v>774</v>
      </c>
      <c r="F273" s="57">
        <v>83.4</v>
      </c>
      <c r="G273" s="42" t="s">
        <v>468</v>
      </c>
      <c r="H273" s="42" t="s">
        <v>86</v>
      </c>
      <c r="I273" s="42" t="s">
        <v>775</v>
      </c>
      <c r="J273" s="57"/>
      <c r="K273" s="57"/>
      <c r="L273" s="57"/>
      <c r="M273" s="57"/>
      <c r="N273" s="42" t="s">
        <v>1611</v>
      </c>
      <c r="O273" s="42" t="s">
        <v>791</v>
      </c>
      <c r="P273" s="43">
        <v>46213.0</v>
      </c>
    </row>
    <row r="274" ht="15.75" customHeight="1">
      <c r="A274" s="42" t="s">
        <v>787</v>
      </c>
      <c r="B274" s="42" t="s">
        <v>790</v>
      </c>
      <c r="C274" s="42" t="s">
        <v>485</v>
      </c>
      <c r="D274" s="42" t="s">
        <v>45</v>
      </c>
      <c r="E274" s="42" t="s">
        <v>774</v>
      </c>
      <c r="F274" s="57">
        <v>93.6</v>
      </c>
      <c r="G274" s="42" t="s">
        <v>468</v>
      </c>
      <c r="H274" s="42" t="s">
        <v>86</v>
      </c>
      <c r="I274" s="42" t="s">
        <v>775</v>
      </c>
      <c r="J274" s="57"/>
      <c r="K274" s="57"/>
      <c r="L274" s="57"/>
      <c r="M274" s="57"/>
      <c r="N274" s="42" t="s">
        <v>1611</v>
      </c>
      <c r="O274" s="42" t="s">
        <v>791</v>
      </c>
      <c r="P274" s="43">
        <v>46213.0</v>
      </c>
    </row>
    <row r="275" ht="15.75" customHeight="1">
      <c r="A275" s="42" t="s">
        <v>787</v>
      </c>
      <c r="B275" s="42" t="s">
        <v>792</v>
      </c>
      <c r="C275" s="42" t="s">
        <v>466</v>
      </c>
      <c r="D275" s="42" t="s">
        <v>37</v>
      </c>
      <c r="E275" s="42" t="s">
        <v>774</v>
      </c>
      <c r="F275" s="57">
        <v>63.2</v>
      </c>
      <c r="G275" s="42" t="s">
        <v>468</v>
      </c>
      <c r="H275" s="42" t="s">
        <v>86</v>
      </c>
      <c r="I275" s="42" t="s">
        <v>775</v>
      </c>
      <c r="J275" s="57"/>
      <c r="K275" s="57"/>
      <c r="L275" s="57"/>
      <c r="M275" s="57"/>
      <c r="N275" s="42" t="s">
        <v>1611</v>
      </c>
      <c r="O275" s="42" t="s">
        <v>793</v>
      </c>
      <c r="P275" s="43">
        <v>46213.0</v>
      </c>
    </row>
    <row r="276" ht="15.75" customHeight="1">
      <c r="A276" s="42" t="s">
        <v>787</v>
      </c>
      <c r="B276" s="42" t="s">
        <v>792</v>
      </c>
      <c r="C276" s="42" t="s">
        <v>472</v>
      </c>
      <c r="D276" s="42" t="s">
        <v>473</v>
      </c>
      <c r="E276" s="42" t="s">
        <v>778</v>
      </c>
      <c r="F276" s="57">
        <v>80.4</v>
      </c>
      <c r="G276" s="42" t="s">
        <v>468</v>
      </c>
      <c r="H276" s="42" t="s">
        <v>86</v>
      </c>
      <c r="I276" s="42" t="s">
        <v>775</v>
      </c>
      <c r="J276" s="57"/>
      <c r="K276" s="57"/>
      <c r="L276" s="57"/>
      <c r="M276" s="57"/>
      <c r="N276" s="42" t="s">
        <v>1611</v>
      </c>
      <c r="O276" s="42" t="s">
        <v>793</v>
      </c>
      <c r="P276" s="43">
        <v>46213.0</v>
      </c>
    </row>
    <row r="277" ht="15.75" customHeight="1">
      <c r="A277" s="42" t="s">
        <v>787</v>
      </c>
      <c r="B277" s="42" t="s">
        <v>792</v>
      </c>
      <c r="C277" s="42" t="s">
        <v>477</v>
      </c>
      <c r="D277" s="42" t="s">
        <v>44</v>
      </c>
      <c r="E277" s="42" t="s">
        <v>774</v>
      </c>
      <c r="F277" s="57">
        <v>81.2</v>
      </c>
      <c r="G277" s="42" t="s">
        <v>468</v>
      </c>
      <c r="H277" s="42" t="s">
        <v>86</v>
      </c>
      <c r="I277" s="42" t="s">
        <v>775</v>
      </c>
      <c r="J277" s="57"/>
      <c r="K277" s="57"/>
      <c r="L277" s="57"/>
      <c r="M277" s="57"/>
      <c r="N277" s="42" t="s">
        <v>1611</v>
      </c>
      <c r="O277" s="42" t="s">
        <v>793</v>
      </c>
      <c r="P277" s="43">
        <v>46213.0</v>
      </c>
    </row>
    <row r="278" ht="15.75" customHeight="1">
      <c r="A278" s="42" t="s">
        <v>787</v>
      </c>
      <c r="B278" s="42" t="s">
        <v>794</v>
      </c>
      <c r="C278" s="42" t="s">
        <v>466</v>
      </c>
      <c r="D278" s="42" t="s">
        <v>41</v>
      </c>
      <c r="E278" s="42" t="s">
        <v>774</v>
      </c>
      <c r="F278" s="57">
        <v>73.3</v>
      </c>
      <c r="G278" s="42" t="s">
        <v>468</v>
      </c>
      <c r="H278" s="42" t="s">
        <v>86</v>
      </c>
      <c r="I278" s="42" t="s">
        <v>775</v>
      </c>
      <c r="J278" s="57"/>
      <c r="K278" s="57"/>
      <c r="L278" s="57"/>
      <c r="M278" s="57"/>
      <c r="N278" s="42" t="s">
        <v>1611</v>
      </c>
      <c r="O278" s="42" t="s">
        <v>795</v>
      </c>
      <c r="P278" s="43">
        <v>46213.0</v>
      </c>
    </row>
    <row r="279" ht="15.75" customHeight="1">
      <c r="A279" s="42" t="s">
        <v>232</v>
      </c>
      <c r="B279" s="42" t="s">
        <v>234</v>
      </c>
      <c r="C279" s="42" t="s">
        <v>466</v>
      </c>
      <c r="D279" s="42" t="s">
        <v>37</v>
      </c>
      <c r="E279" s="42" t="s">
        <v>774</v>
      </c>
      <c r="F279" s="57">
        <v>64.7</v>
      </c>
      <c r="G279" s="42" t="s">
        <v>468</v>
      </c>
      <c r="H279" s="42" t="s">
        <v>86</v>
      </c>
      <c r="I279" s="42" t="s">
        <v>775</v>
      </c>
      <c r="J279" s="57"/>
      <c r="K279" s="57"/>
      <c r="L279" s="57"/>
      <c r="M279" s="57"/>
      <c r="N279" s="42" t="s">
        <v>1611</v>
      </c>
      <c r="O279" s="42" t="s">
        <v>245</v>
      </c>
      <c r="P279" s="43">
        <v>46213.0</v>
      </c>
    </row>
    <row r="280" ht="15.75" customHeight="1">
      <c r="A280" s="42" t="s">
        <v>232</v>
      </c>
      <c r="B280" s="42" t="s">
        <v>234</v>
      </c>
      <c r="C280" s="42" t="s">
        <v>472</v>
      </c>
      <c r="D280" s="42" t="s">
        <v>473</v>
      </c>
      <c r="E280" s="42" t="s">
        <v>778</v>
      </c>
      <c r="F280" s="57">
        <v>83.3</v>
      </c>
      <c r="G280" s="42" t="s">
        <v>468</v>
      </c>
      <c r="H280" s="42" t="s">
        <v>86</v>
      </c>
      <c r="I280" s="42" t="s">
        <v>775</v>
      </c>
      <c r="J280" s="57"/>
      <c r="K280" s="57"/>
      <c r="L280" s="57"/>
      <c r="M280" s="57"/>
      <c r="N280" s="42" t="s">
        <v>1611</v>
      </c>
      <c r="O280" s="42" t="s">
        <v>245</v>
      </c>
      <c r="P280" s="43">
        <v>46213.0</v>
      </c>
    </row>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landscape"/>
  <drawing r:id="rId1"/>
</worksheet>
</file>

<file path=xl/worksheets/sheet1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0.1" defaultRowHeight="15.0"/>
  <cols>
    <col customWidth="1" min="1" max="1" width="27.2"/>
    <col customWidth="1" min="2" max="2" width="30.4"/>
    <col customWidth="1" min="3" max="3" width="56.0"/>
    <col customWidth="1" min="4" max="7" width="16.0"/>
    <col customWidth="1" min="8" max="26" width="6.9"/>
  </cols>
  <sheetData>
    <row r="1">
      <c r="A1" s="1" t="s">
        <v>1612</v>
      </c>
      <c r="B1" s="1"/>
      <c r="C1" s="1"/>
      <c r="D1" s="1"/>
      <c r="E1" s="1"/>
      <c r="F1" s="1"/>
      <c r="G1" s="1"/>
      <c r="H1" s="1"/>
    </row>
    <row r="2">
      <c r="A2" s="3" t="s">
        <v>1613</v>
      </c>
      <c r="B2" s="3"/>
      <c r="C2" s="3"/>
      <c r="D2" s="3"/>
      <c r="E2" s="3"/>
      <c r="F2" s="3"/>
      <c r="G2" s="3"/>
      <c r="H2" s="3"/>
    </row>
    <row r="4">
      <c r="A4" s="81" t="s">
        <v>1124</v>
      </c>
      <c r="B4" s="81" t="s">
        <v>1293</v>
      </c>
      <c r="C4" s="81" t="s">
        <v>1614</v>
      </c>
      <c r="D4" s="73"/>
      <c r="E4" s="73"/>
      <c r="F4" s="73"/>
      <c r="G4" s="73"/>
      <c r="H4" s="42"/>
    </row>
    <row r="5">
      <c r="A5" s="73" t="s">
        <v>1615</v>
      </c>
      <c r="B5" s="73">
        <v>0.0</v>
      </c>
      <c r="C5" s="73" t="s">
        <v>1616</v>
      </c>
      <c r="D5" s="73"/>
      <c r="E5" s="73"/>
      <c r="F5" s="73"/>
      <c r="G5" s="73"/>
      <c r="H5" s="42"/>
    </row>
    <row r="6">
      <c r="A6" s="73" t="s">
        <v>1617</v>
      </c>
      <c r="B6" s="73">
        <v>29.0</v>
      </c>
      <c r="C6" s="73" t="s">
        <v>1618</v>
      </c>
      <c r="D6" s="73"/>
      <c r="E6" s="73"/>
      <c r="F6" s="73"/>
      <c r="G6" s="73"/>
      <c r="H6" s="42"/>
    </row>
    <row r="7">
      <c r="A7" s="73" t="s">
        <v>1619</v>
      </c>
      <c r="B7" s="73">
        <v>100.0</v>
      </c>
      <c r="C7" s="73" t="s">
        <v>1620</v>
      </c>
      <c r="D7" s="73"/>
      <c r="E7" s="73"/>
      <c r="F7" s="73"/>
      <c r="G7" s="73"/>
      <c r="H7" s="42"/>
    </row>
    <row r="8">
      <c r="A8" s="73" t="s">
        <v>1621</v>
      </c>
      <c r="B8" s="73">
        <v>51.0</v>
      </c>
      <c r="C8" s="73" t="s">
        <v>1622</v>
      </c>
      <c r="D8" s="73"/>
      <c r="E8" s="73"/>
      <c r="F8" s="73"/>
      <c r="G8" s="73"/>
      <c r="H8" s="42"/>
    </row>
    <row r="9">
      <c r="A9" s="73" t="s">
        <v>1623</v>
      </c>
      <c r="B9" s="73">
        <v>34.0</v>
      </c>
      <c r="C9" s="73" t="s">
        <v>1624</v>
      </c>
      <c r="D9" s="73"/>
      <c r="E9" s="73"/>
      <c r="F9" s="73"/>
      <c r="G9" s="73"/>
      <c r="H9" s="42"/>
    </row>
    <row r="10">
      <c r="A10" s="73" t="s">
        <v>1625</v>
      </c>
      <c r="B10" s="73">
        <v>30.0</v>
      </c>
      <c r="C10" s="73" t="s">
        <v>1626</v>
      </c>
      <c r="D10" s="73"/>
      <c r="E10" s="73"/>
      <c r="F10" s="73"/>
      <c r="G10" s="73"/>
      <c r="H10" s="42"/>
    </row>
    <row r="11">
      <c r="A11" s="73" t="s">
        <v>1627</v>
      </c>
      <c r="B11" s="73">
        <v>276.0</v>
      </c>
      <c r="C11" s="73" t="s">
        <v>1628</v>
      </c>
      <c r="D11" s="73"/>
      <c r="E11" s="73"/>
      <c r="F11" s="73"/>
      <c r="G11" s="73"/>
      <c r="H11" s="42"/>
    </row>
    <row r="12">
      <c r="A12" s="73" t="s">
        <v>1629</v>
      </c>
      <c r="B12" s="73" t="s">
        <v>1630</v>
      </c>
      <c r="C12" s="73" t="s">
        <v>1631</v>
      </c>
      <c r="D12" s="73"/>
      <c r="E12" s="73"/>
      <c r="F12" s="73"/>
      <c r="G12" s="73"/>
      <c r="H12" s="42"/>
    </row>
    <row r="13">
      <c r="A13" s="73" t="s">
        <v>1632</v>
      </c>
      <c r="B13" s="73">
        <v>153.0</v>
      </c>
      <c r="C13" s="73" t="s">
        <v>1633</v>
      </c>
      <c r="D13" s="73"/>
      <c r="E13" s="73"/>
      <c r="F13" s="73"/>
      <c r="G13" s="73"/>
      <c r="H13" s="42"/>
    </row>
    <row r="14">
      <c r="A14" s="73" t="s">
        <v>1634</v>
      </c>
      <c r="B14" s="73">
        <v>0.0</v>
      </c>
      <c r="C14" s="73" t="s">
        <v>1635</v>
      </c>
      <c r="D14" s="73"/>
      <c r="E14" s="73"/>
      <c r="F14" s="73"/>
      <c r="G14" s="73"/>
      <c r="H14" s="42"/>
    </row>
    <row r="15">
      <c r="A15" s="73"/>
      <c r="B15" s="73"/>
      <c r="C15" s="73"/>
      <c r="D15" s="73"/>
      <c r="E15" s="73"/>
      <c r="F15" s="73"/>
      <c r="G15" s="73"/>
      <c r="H15" s="42"/>
    </row>
    <row r="16">
      <c r="A16" s="73"/>
      <c r="B16" s="73"/>
      <c r="C16" s="73"/>
      <c r="D16" s="73"/>
      <c r="E16" s="73"/>
      <c r="F16" s="73"/>
      <c r="G16" s="73"/>
      <c r="H16" s="42"/>
    </row>
    <row r="17">
      <c r="A17" s="81" t="s">
        <v>4</v>
      </c>
      <c r="B17" s="81" t="s">
        <v>1636</v>
      </c>
      <c r="C17" s="81" t="s">
        <v>1268</v>
      </c>
      <c r="D17" s="73"/>
      <c r="E17" s="73"/>
      <c r="F17" s="73"/>
      <c r="G17" s="73"/>
      <c r="H17" s="42"/>
    </row>
    <row r="18" ht="33.75" customHeight="1">
      <c r="A18" s="73" t="s">
        <v>587</v>
      </c>
      <c r="B18" s="73" t="s">
        <v>1637</v>
      </c>
      <c r="C18" s="73" t="s">
        <v>1638</v>
      </c>
      <c r="D18" s="73"/>
      <c r="E18" s="73"/>
      <c r="F18" s="73"/>
      <c r="G18" s="73"/>
      <c r="H18" s="42"/>
    </row>
    <row r="19" ht="33.75" customHeight="1">
      <c r="A19" s="73" t="s">
        <v>599</v>
      </c>
      <c r="B19" s="73" t="s">
        <v>1637</v>
      </c>
      <c r="C19" s="73" t="s">
        <v>1639</v>
      </c>
      <c r="D19" s="73"/>
      <c r="E19" s="73"/>
      <c r="F19" s="73"/>
      <c r="G19" s="73"/>
      <c r="H19" s="42"/>
    </row>
    <row r="20" ht="33.75" customHeight="1">
      <c r="A20" s="73" t="s">
        <v>432</v>
      </c>
      <c r="B20" s="73" t="s">
        <v>1637</v>
      </c>
      <c r="C20" s="73" t="s">
        <v>1640</v>
      </c>
      <c r="D20" s="73"/>
      <c r="E20" s="73"/>
      <c r="F20" s="73"/>
      <c r="G20" s="73"/>
      <c r="H20" s="42"/>
    </row>
    <row r="21" ht="33.75" customHeight="1">
      <c r="A21" s="73" t="s">
        <v>440</v>
      </c>
      <c r="B21" s="73" t="s">
        <v>1637</v>
      </c>
      <c r="C21" s="73" t="s">
        <v>265</v>
      </c>
      <c r="D21" s="73"/>
      <c r="E21" s="73"/>
      <c r="F21" s="73"/>
      <c r="G21" s="73"/>
      <c r="H21" s="42"/>
    </row>
    <row r="22" ht="33.75" customHeight="1">
      <c r="A22" s="73" t="s">
        <v>423</v>
      </c>
      <c r="B22" s="73" t="s">
        <v>1637</v>
      </c>
      <c r="C22" s="73" t="s">
        <v>1640</v>
      </c>
      <c r="D22" s="73"/>
      <c r="E22" s="73"/>
      <c r="F22" s="73"/>
      <c r="G22" s="73"/>
      <c r="H22" s="42"/>
    </row>
    <row r="23" ht="33.75" customHeight="1">
      <c r="A23" s="73" t="s">
        <v>248</v>
      </c>
      <c r="B23" s="73" t="s">
        <v>1637</v>
      </c>
      <c r="C23" s="73" t="s">
        <v>265</v>
      </c>
      <c r="D23" s="73"/>
      <c r="E23" s="73"/>
      <c r="F23" s="73"/>
      <c r="G23" s="73"/>
      <c r="H23" s="42"/>
    </row>
    <row r="24" ht="33.75" customHeight="1">
      <c r="A24" s="73" t="s">
        <v>844</v>
      </c>
      <c r="B24" s="73" t="s">
        <v>1637</v>
      </c>
      <c r="C24" s="73" t="s">
        <v>1641</v>
      </c>
      <c r="D24" s="73"/>
      <c r="E24" s="73"/>
      <c r="F24" s="73"/>
      <c r="G24" s="73"/>
      <c r="H24" s="42"/>
    </row>
    <row r="25" ht="33.75" customHeight="1">
      <c r="A25" s="73" t="s">
        <v>843</v>
      </c>
      <c r="B25" s="73" t="s">
        <v>1637</v>
      </c>
      <c r="C25" s="73" t="s">
        <v>1642</v>
      </c>
      <c r="D25" s="73"/>
      <c r="E25" s="73"/>
      <c r="F25" s="73"/>
      <c r="G25" s="73"/>
      <c r="H25" s="42"/>
    </row>
    <row r="26" ht="33.75" customHeight="1">
      <c r="A26" s="73" t="s">
        <v>842</v>
      </c>
      <c r="B26" s="73" t="s">
        <v>1637</v>
      </c>
      <c r="C26" s="73" t="s">
        <v>1642</v>
      </c>
      <c r="D26" s="73"/>
      <c r="E26" s="73"/>
      <c r="F26" s="73"/>
      <c r="G26" s="73"/>
      <c r="H26" s="42"/>
    </row>
    <row r="27" ht="33.75" customHeight="1">
      <c r="A27" s="73" t="s">
        <v>840</v>
      </c>
      <c r="B27" s="73" t="s">
        <v>1637</v>
      </c>
      <c r="C27" s="73" t="s">
        <v>1642</v>
      </c>
      <c r="D27" s="73"/>
      <c r="E27" s="73"/>
      <c r="F27" s="73"/>
      <c r="G27" s="73"/>
      <c r="H27" s="42"/>
    </row>
    <row r="28" ht="33.75" customHeight="1">
      <c r="A28" s="73" t="s">
        <v>846</v>
      </c>
      <c r="B28" s="73" t="s">
        <v>1637</v>
      </c>
      <c r="C28" s="73" t="s">
        <v>1643</v>
      </c>
      <c r="D28" s="73"/>
      <c r="E28" s="73"/>
      <c r="F28" s="73"/>
      <c r="G28" s="73"/>
      <c r="H28" s="42"/>
    </row>
    <row r="29" ht="33.75" customHeight="1">
      <c r="A29" s="73" t="s">
        <v>661</v>
      </c>
      <c r="B29" s="73" t="s">
        <v>1637</v>
      </c>
      <c r="C29" s="73" t="s">
        <v>1640</v>
      </c>
      <c r="D29" s="73"/>
      <c r="E29" s="73"/>
      <c r="F29" s="73"/>
      <c r="G29" s="73"/>
      <c r="H29" s="42"/>
    </row>
    <row r="30" ht="33.75" customHeight="1">
      <c r="A30" s="73" t="s">
        <v>689</v>
      </c>
      <c r="B30" s="73" t="s">
        <v>1637</v>
      </c>
      <c r="C30" s="73" t="s">
        <v>1640</v>
      </c>
      <c r="D30" s="73"/>
      <c r="E30" s="73"/>
      <c r="F30" s="73"/>
      <c r="G30" s="73"/>
      <c r="H30" s="42"/>
    </row>
    <row r="31" ht="33.75" customHeight="1">
      <c r="A31" s="73" t="s">
        <v>688</v>
      </c>
      <c r="B31" s="73" t="s">
        <v>1637</v>
      </c>
      <c r="C31" s="73" t="s">
        <v>1640</v>
      </c>
      <c r="D31" s="73"/>
      <c r="E31" s="73"/>
      <c r="F31" s="73"/>
      <c r="G31" s="73"/>
      <c r="H31" s="42"/>
    </row>
    <row r="32" ht="33.75" customHeight="1">
      <c r="A32" s="73" t="s">
        <v>581</v>
      </c>
      <c r="B32" s="73" t="s">
        <v>1637</v>
      </c>
      <c r="C32" s="73" t="s">
        <v>1644</v>
      </c>
      <c r="D32" s="73"/>
      <c r="E32" s="73"/>
      <c r="F32" s="73"/>
      <c r="G32" s="73"/>
      <c r="H32" s="42"/>
    </row>
    <row r="33" ht="33.75" customHeight="1">
      <c r="A33" s="73" t="s">
        <v>565</v>
      </c>
      <c r="B33" s="73" t="s">
        <v>1637</v>
      </c>
      <c r="C33" s="73" t="s">
        <v>1645</v>
      </c>
      <c r="D33" s="73"/>
      <c r="E33" s="73"/>
      <c r="F33" s="73"/>
      <c r="G33" s="73"/>
      <c r="H33" s="42"/>
    </row>
    <row r="34" ht="33.75" customHeight="1">
      <c r="A34" s="73" t="s">
        <v>325</v>
      </c>
      <c r="B34" s="73" t="s">
        <v>1637</v>
      </c>
      <c r="C34" s="73" t="s">
        <v>339</v>
      </c>
      <c r="D34" s="73"/>
      <c r="E34" s="73"/>
      <c r="F34" s="73"/>
      <c r="G34" s="73"/>
      <c r="H34" s="42"/>
    </row>
    <row r="35" ht="15.75" customHeight="1">
      <c r="A35" s="73"/>
      <c r="B35" s="73"/>
      <c r="C35" s="73"/>
      <c r="D35" s="73"/>
      <c r="E35" s="73"/>
      <c r="F35" s="73"/>
      <c r="G35" s="73"/>
      <c r="H35" s="42"/>
    </row>
    <row r="36" ht="15.75" customHeight="1">
      <c r="A36" s="73"/>
      <c r="B36" s="73"/>
      <c r="C36" s="73"/>
      <c r="D36" s="73"/>
      <c r="E36" s="73"/>
      <c r="F36" s="73"/>
      <c r="G36" s="73"/>
      <c r="H36" s="42"/>
    </row>
    <row r="37" ht="15.75" customHeight="1">
      <c r="A37" s="81" t="s">
        <v>1646</v>
      </c>
      <c r="B37" s="81" t="s">
        <v>1647</v>
      </c>
      <c r="C37" s="81" t="s">
        <v>1648</v>
      </c>
      <c r="D37" s="73"/>
      <c r="E37" s="73"/>
      <c r="F37" s="73"/>
      <c r="G37" s="73"/>
      <c r="H37" s="42"/>
    </row>
    <row r="38" ht="15.75" customHeight="1">
      <c r="A38" s="73" t="s">
        <v>1649</v>
      </c>
      <c r="B38" s="73" t="s">
        <v>1650</v>
      </c>
      <c r="C38" s="73" t="s">
        <v>1651</v>
      </c>
      <c r="D38" s="73"/>
      <c r="E38" s="73"/>
      <c r="F38" s="73"/>
      <c r="G38" s="73"/>
      <c r="H38" s="42"/>
    </row>
    <row r="39" ht="15.75" customHeight="1">
      <c r="A39" s="73" t="s">
        <v>1652</v>
      </c>
      <c r="B39" s="73" t="s">
        <v>1653</v>
      </c>
      <c r="C39" s="73" t="s">
        <v>1654</v>
      </c>
      <c r="D39" s="73"/>
      <c r="E39" s="73"/>
      <c r="F39" s="73"/>
      <c r="G39" s="73"/>
      <c r="H39" s="42"/>
    </row>
    <row r="40" ht="15.75" customHeight="1">
      <c r="A40" s="73" t="s">
        <v>1655</v>
      </c>
      <c r="B40" s="73" t="s">
        <v>1656</v>
      </c>
      <c r="C40" s="73" t="s">
        <v>1657</v>
      </c>
      <c r="D40" s="73"/>
      <c r="E40" s="73"/>
      <c r="F40" s="73"/>
      <c r="G40" s="73"/>
      <c r="H40" s="42"/>
    </row>
    <row r="41" ht="15.75" customHeight="1">
      <c r="A41" s="73" t="s">
        <v>1658</v>
      </c>
      <c r="B41" s="73" t="s">
        <v>1659</v>
      </c>
      <c r="C41" s="73" t="s">
        <v>1660</v>
      </c>
      <c r="D41" s="73"/>
      <c r="E41" s="73"/>
      <c r="F41" s="73"/>
      <c r="G41" s="73"/>
      <c r="H41" s="42"/>
    </row>
    <row r="42" ht="15.75" customHeight="1">
      <c r="A42" s="73" t="s">
        <v>1661</v>
      </c>
      <c r="B42" s="73" t="s">
        <v>1662</v>
      </c>
      <c r="C42" s="73" t="s">
        <v>1663</v>
      </c>
      <c r="D42" s="73"/>
      <c r="E42" s="73"/>
      <c r="F42" s="73"/>
      <c r="G42" s="73"/>
      <c r="H42" s="42"/>
    </row>
    <row r="43" ht="15.75" customHeight="1">
      <c r="A43" s="73" t="s">
        <v>1664</v>
      </c>
      <c r="B43" s="73" t="s">
        <v>357</v>
      </c>
      <c r="C43" s="73" t="s">
        <v>1665</v>
      </c>
      <c r="D43" s="73"/>
      <c r="E43" s="73"/>
      <c r="F43" s="73"/>
      <c r="G43" s="73"/>
      <c r="H43" s="42"/>
    </row>
    <row r="44" ht="15.75" customHeight="1">
      <c r="A44" s="73"/>
      <c r="B44" s="73"/>
      <c r="C44" s="73"/>
      <c r="D44" s="73"/>
      <c r="E44" s="73"/>
      <c r="F44" s="73"/>
      <c r="G44" s="73"/>
      <c r="H44" s="42"/>
    </row>
    <row r="45" ht="15.75" customHeight="1">
      <c r="A45" s="73"/>
      <c r="B45" s="73"/>
      <c r="C45" s="73"/>
      <c r="D45" s="73"/>
      <c r="E45" s="73"/>
      <c r="F45" s="73"/>
      <c r="G45" s="73"/>
      <c r="H45" s="42"/>
    </row>
    <row r="46" ht="15.75" customHeight="1">
      <c r="A46" s="81" t="s">
        <v>1666</v>
      </c>
      <c r="B46" s="81" t="s">
        <v>1648</v>
      </c>
      <c r="C46" s="73"/>
      <c r="D46" s="73"/>
      <c r="E46" s="73"/>
      <c r="F46" s="73"/>
      <c r="G46" s="73"/>
      <c r="H46" s="42"/>
    </row>
    <row r="47" ht="15.75" customHeight="1">
      <c r="A47" s="73" t="s">
        <v>1667</v>
      </c>
      <c r="B47" s="73" t="s">
        <v>1668</v>
      </c>
      <c r="C47" s="73"/>
      <c r="D47" s="73"/>
      <c r="E47" s="73"/>
      <c r="F47" s="73"/>
      <c r="G47" s="73"/>
      <c r="H47" s="42"/>
    </row>
    <row r="48" ht="15.75" customHeight="1">
      <c r="A48" s="73" t="s">
        <v>1669</v>
      </c>
      <c r="B48" s="73" t="s">
        <v>1670</v>
      </c>
      <c r="C48" s="73"/>
      <c r="D48" s="73"/>
      <c r="E48" s="73"/>
      <c r="F48" s="73"/>
      <c r="G48" s="73"/>
      <c r="H48" s="42"/>
    </row>
    <row r="49" ht="15.75" customHeight="1">
      <c r="A49" s="73" t="s">
        <v>1671</v>
      </c>
      <c r="B49" s="73" t="s">
        <v>1672</v>
      </c>
      <c r="C49" s="73"/>
      <c r="D49" s="73"/>
      <c r="E49" s="73"/>
      <c r="F49" s="73"/>
      <c r="G49" s="73"/>
      <c r="H49" s="42"/>
    </row>
    <row r="50" ht="15.75" customHeight="1">
      <c r="A50" s="73" t="s">
        <v>1673</v>
      </c>
      <c r="B50" s="73" t="s">
        <v>1674</v>
      </c>
      <c r="C50" s="73"/>
      <c r="D50" s="73"/>
      <c r="E50" s="73"/>
      <c r="F50" s="73"/>
      <c r="G50" s="73"/>
      <c r="H50" s="42"/>
    </row>
    <row r="51" ht="15.75" customHeight="1">
      <c r="A51" s="73" t="s">
        <v>1675</v>
      </c>
      <c r="B51" s="73" t="s">
        <v>1676</v>
      </c>
      <c r="C51" s="73"/>
      <c r="D51" s="73"/>
      <c r="E51" s="73"/>
      <c r="F51" s="73"/>
      <c r="G51" s="73"/>
      <c r="H51" s="42"/>
    </row>
    <row r="52" ht="15.75" customHeight="1">
      <c r="A52" s="73"/>
      <c r="B52" s="73"/>
      <c r="C52" s="73"/>
      <c r="D52" s="73"/>
      <c r="E52" s="73"/>
      <c r="F52" s="73"/>
      <c r="G52" s="73"/>
      <c r="H52" s="42"/>
    </row>
    <row r="53" ht="15.75" customHeight="1">
      <c r="A53" s="73"/>
      <c r="B53" s="73"/>
      <c r="C53" s="73"/>
      <c r="D53" s="73"/>
      <c r="E53" s="73"/>
      <c r="F53" s="73"/>
      <c r="G53" s="73"/>
      <c r="H53" s="42"/>
    </row>
    <row r="54" ht="15.75" customHeight="1">
      <c r="A54" s="81" t="s">
        <v>1677</v>
      </c>
      <c r="B54" s="81" t="s">
        <v>1678</v>
      </c>
      <c r="C54" s="73"/>
      <c r="D54" s="73"/>
      <c r="E54" s="73"/>
      <c r="F54" s="73"/>
      <c r="G54" s="73"/>
      <c r="H54" s="42"/>
    </row>
    <row r="55" ht="15.75" customHeight="1">
      <c r="A55" s="73" t="s">
        <v>1679</v>
      </c>
      <c r="B55" s="73" t="s">
        <v>1680</v>
      </c>
      <c r="C55" s="73"/>
      <c r="D55" s="73"/>
      <c r="E55" s="73"/>
      <c r="F55" s="73"/>
      <c r="G55" s="73"/>
      <c r="H55" s="42"/>
    </row>
    <row r="56" ht="15.75" customHeight="1">
      <c r="A56" s="73" t="s">
        <v>1681</v>
      </c>
      <c r="B56" s="73" t="s">
        <v>1682</v>
      </c>
      <c r="C56" s="73"/>
      <c r="D56" s="73"/>
      <c r="E56" s="73"/>
      <c r="F56" s="73"/>
      <c r="G56" s="73"/>
      <c r="H56" s="42"/>
    </row>
    <row r="57" ht="15.75" customHeight="1">
      <c r="A57" s="73" t="s">
        <v>1683</v>
      </c>
      <c r="B57" s="73" t="s">
        <v>1684</v>
      </c>
      <c r="C57" s="73"/>
      <c r="D57" s="73"/>
      <c r="E57" s="73"/>
      <c r="F57" s="73"/>
      <c r="G57" s="73"/>
      <c r="H57" s="42"/>
    </row>
    <row r="58" ht="15.75" customHeight="1">
      <c r="A58" s="73" t="s">
        <v>1685</v>
      </c>
      <c r="B58" s="73" t="s">
        <v>1686</v>
      </c>
      <c r="C58" s="73"/>
      <c r="D58" s="73"/>
      <c r="E58" s="73"/>
      <c r="F58" s="73"/>
      <c r="G58" s="73"/>
      <c r="H58" s="42"/>
    </row>
    <row r="59" ht="15.75" customHeight="1">
      <c r="A59" s="73" t="s">
        <v>1687</v>
      </c>
      <c r="B59" s="73" t="s">
        <v>1688</v>
      </c>
      <c r="C59" s="73"/>
      <c r="D59" s="73"/>
      <c r="E59" s="73"/>
      <c r="F59" s="73"/>
      <c r="G59" s="73"/>
      <c r="H59" s="42"/>
    </row>
    <row r="60" ht="15.75" customHeight="1">
      <c r="A60" s="73"/>
      <c r="B60" s="73"/>
      <c r="C60" s="73"/>
      <c r="D60" s="73"/>
      <c r="E60" s="73"/>
      <c r="F60" s="73"/>
      <c r="G60" s="73"/>
      <c r="H60" s="42"/>
    </row>
    <row r="61" ht="15.75" customHeight="1">
      <c r="A61" s="73"/>
      <c r="B61" s="73"/>
      <c r="C61" s="73"/>
      <c r="D61" s="73"/>
      <c r="E61" s="73"/>
      <c r="F61" s="73"/>
      <c r="G61" s="73"/>
      <c r="H61" s="42"/>
    </row>
    <row r="62" ht="15.75" customHeight="1">
      <c r="A62" s="81" t="s">
        <v>1689</v>
      </c>
      <c r="B62" s="81" t="s">
        <v>1171</v>
      </c>
      <c r="C62" s="81" t="s">
        <v>460</v>
      </c>
      <c r="D62" s="81" t="s">
        <v>1172</v>
      </c>
      <c r="E62" s="81" t="s">
        <v>460</v>
      </c>
      <c r="F62" s="81" t="s">
        <v>1690</v>
      </c>
      <c r="G62" s="81" t="s">
        <v>460</v>
      </c>
      <c r="H62" s="42"/>
    </row>
    <row r="63" ht="15.75" customHeight="1">
      <c r="A63" s="73" t="s">
        <v>1126</v>
      </c>
      <c r="B63" s="73" t="s">
        <v>788</v>
      </c>
      <c r="C63" s="82">
        <v>99.7</v>
      </c>
      <c r="D63" s="82" t="s">
        <v>80</v>
      </c>
      <c r="E63" s="82">
        <v>99.45</v>
      </c>
      <c r="F63" s="82" t="s">
        <v>790</v>
      </c>
      <c r="G63" s="82">
        <v>98.45</v>
      </c>
      <c r="H63" s="42"/>
    </row>
    <row r="64" ht="15.75" customHeight="1">
      <c r="A64" s="73" t="s">
        <v>1127</v>
      </c>
      <c r="B64" s="73" t="s">
        <v>403</v>
      </c>
      <c r="C64" s="82">
        <v>92.75</v>
      </c>
      <c r="D64" s="82" t="s">
        <v>357</v>
      </c>
      <c r="E64" s="82">
        <v>91.4</v>
      </c>
      <c r="F64" s="82" t="s">
        <v>234</v>
      </c>
      <c r="G64" s="82">
        <v>91.15</v>
      </c>
      <c r="H64" s="42"/>
    </row>
    <row r="65" ht="15.75" customHeight="1">
      <c r="A65" s="73" t="s">
        <v>1128</v>
      </c>
      <c r="B65" s="73" t="s">
        <v>403</v>
      </c>
      <c r="C65" s="82">
        <v>91.17</v>
      </c>
      <c r="D65" s="82" t="s">
        <v>357</v>
      </c>
      <c r="E65" s="82">
        <v>90.07</v>
      </c>
      <c r="F65" s="82" t="s">
        <v>156</v>
      </c>
      <c r="G65" s="82">
        <v>89.78</v>
      </c>
      <c r="H65" s="42"/>
    </row>
    <row r="66" ht="15.75" customHeight="1">
      <c r="A66" s="73"/>
      <c r="B66" s="73"/>
      <c r="C66" s="73"/>
      <c r="D66" s="73"/>
      <c r="E66" s="73"/>
      <c r="F66" s="73"/>
      <c r="G66" s="73"/>
      <c r="H66" s="42"/>
    </row>
    <row r="67" ht="15.75" customHeight="1">
      <c r="A67" s="73"/>
      <c r="B67" s="73"/>
      <c r="C67" s="73"/>
      <c r="D67" s="73"/>
      <c r="E67" s="73"/>
      <c r="F67" s="73"/>
      <c r="G67" s="73"/>
      <c r="H67" s="42"/>
    </row>
    <row r="68" ht="15.75" customHeight="1">
      <c r="A68" s="81" t="s">
        <v>1691</v>
      </c>
      <c r="B68" s="81" t="s">
        <v>1692</v>
      </c>
      <c r="C68" s="81" t="s">
        <v>1693</v>
      </c>
      <c r="D68" s="73"/>
      <c r="E68" s="73"/>
      <c r="F68" s="73"/>
      <c r="G68" s="73"/>
      <c r="H68" s="42"/>
    </row>
    <row r="69" ht="15.75" customHeight="1">
      <c r="A69" s="73" t="s">
        <v>1694</v>
      </c>
      <c r="B69" s="83">
        <v>46215.0</v>
      </c>
      <c r="C69" s="73" t="s">
        <v>1695</v>
      </c>
      <c r="D69" s="73"/>
      <c r="E69" s="73"/>
      <c r="F69" s="73"/>
      <c r="G69" s="73"/>
      <c r="H69" s="42"/>
    </row>
    <row r="70" ht="15.75" customHeight="1">
      <c r="A70" s="73" t="s">
        <v>1696</v>
      </c>
      <c r="B70" s="73" t="s">
        <v>1697</v>
      </c>
      <c r="C70" s="73" t="s">
        <v>1698</v>
      </c>
      <c r="D70" s="73"/>
      <c r="E70" s="73"/>
      <c r="F70" s="73"/>
      <c r="G70" s="73"/>
      <c r="H70" s="42"/>
    </row>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landscape"/>
  <drawing r:id="rId1"/>
</worksheet>
</file>